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pivotTables/pivotTable6.xml" ContentType="application/vnd.openxmlformats-officedocument.spreadsheetml.pivotTable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4.xml" ContentType="application/vnd.openxmlformats-officedocument.spreadsheetml.pivotCacheDefinitio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sharedStrings.xml" ContentType="application/vnd.openxmlformats-officedocument.spreadsheetml.sharedStrings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Default Extension="bin" ContentType="application/vnd.openxmlformats-officedocument.spreadsheetml.printerSettings"/>
  <Override PartName="/xl/pivotTables/pivotTable5.xml" ContentType="application/vnd.openxmlformats-officedocument.spreadsheetml.pivotTable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pivotTables/pivotTable3.xml" ContentType="application/vnd.openxmlformats-officedocument.spreadsheetml.pivotTable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pivotTables/pivotTable1.xml" ContentType="application/vnd.openxmlformats-officedocument.spreadsheetml.pivotTable+xml"/>
  <Override PartName="/xl/charts/chart3.xml" ContentType="application/vnd.openxmlformats-officedocument.drawingml.chart+xml"/>
  <Override PartName="/xl/drawings/drawing5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240" yWindow="60" windowWidth="20055" windowHeight="7950" firstSheet="3" activeTab="10"/>
  </bookViews>
  <sheets>
    <sheet name="Distribution" sheetId="18" r:id="rId1"/>
    <sheet name="data_cleaned_2021" sheetId="1" r:id="rId2"/>
    <sheet name="RatingScatter" sheetId="15" r:id="rId3"/>
    <sheet name="SizeRating" sheetId="14" r:id="rId4"/>
    <sheet name="Size" sheetId="12" r:id="rId5"/>
    <sheet name="Industry" sheetId="10" r:id="rId6"/>
    <sheet name="City Salary" sheetId="8" r:id="rId7"/>
    <sheet name="CityCount" sheetId="5" r:id="rId8"/>
    <sheet name="Title Count" sheetId="3" r:id="rId9"/>
    <sheet name="Title Salary" sheetId="4" r:id="rId10"/>
    <sheet name="Rating Band" sheetId="16" r:id="rId11"/>
    <sheet name="Stats" sheetId="21" r:id="rId12"/>
  </sheets>
  <definedNames>
    <definedName name="_xlnm._FilterDatabase" localSheetId="2" hidden="1">RatingScatter!$A$1:$A$743</definedName>
  </definedNames>
  <calcPr calcId="124519"/>
  <pivotCaches>
    <pivotCache cacheId="0" r:id="rId13"/>
    <pivotCache cacheId="17" r:id="rId14"/>
    <pivotCache cacheId="3" r:id="rId15"/>
    <pivotCache cacheId="13" r:id="rId16"/>
  </pivotCaches>
</workbook>
</file>

<file path=xl/calcChain.xml><?xml version="1.0" encoding="utf-8"?>
<calcChain xmlns="http://schemas.openxmlformats.org/spreadsheetml/2006/main">
  <c r="C9" i="21"/>
  <c r="C5"/>
  <c r="C8"/>
  <c r="C7"/>
  <c r="C6"/>
  <c r="C4"/>
  <c r="C3"/>
  <c r="C2"/>
  <c r="C743" i="15"/>
  <c r="C742"/>
  <c r="C741"/>
  <c r="C740"/>
  <c r="C739"/>
  <c r="C738"/>
  <c r="C737"/>
  <c r="C736"/>
  <c r="C735"/>
  <c r="C734"/>
  <c r="C733"/>
  <c r="C731"/>
  <c r="C730"/>
  <c r="C729"/>
  <c r="C728"/>
  <c r="C727"/>
  <c r="C726"/>
  <c r="C725"/>
  <c r="C724"/>
  <c r="C723"/>
  <c r="C722"/>
  <c r="C721"/>
  <c r="C720"/>
  <c r="C719"/>
  <c r="C718"/>
  <c r="C717"/>
  <c r="C716"/>
  <c r="C715"/>
  <c r="C714"/>
  <c r="C713"/>
  <c r="C712"/>
  <c r="C711"/>
  <c r="C710"/>
  <c r="C709"/>
  <c r="C708"/>
  <c r="C707"/>
  <c r="C706"/>
  <c r="C705"/>
  <c r="C704"/>
  <c r="C703"/>
  <c r="C702"/>
  <c r="C701"/>
  <c r="C700"/>
  <c r="C699"/>
  <c r="C698"/>
  <c r="C697"/>
  <c r="C696"/>
  <c r="C695"/>
  <c r="C694"/>
  <c r="C693"/>
  <c r="C692"/>
  <c r="C691"/>
  <c r="C690"/>
  <c r="C689"/>
  <c r="C688"/>
  <c r="C687"/>
  <c r="C686"/>
  <c r="C685"/>
  <c r="C684"/>
  <c r="C683"/>
  <c r="C682"/>
  <c r="C681"/>
  <c r="C680"/>
  <c r="C679"/>
  <c r="C678"/>
  <c r="C677"/>
  <c r="C676"/>
  <c r="C675"/>
  <c r="C674"/>
  <c r="C673"/>
  <c r="C672"/>
  <c r="C671"/>
  <c r="C670"/>
  <c r="C669"/>
  <c r="C668"/>
  <c r="C667"/>
  <c r="C666"/>
  <c r="C665"/>
  <c r="C664"/>
  <c r="C663"/>
  <c r="C662"/>
  <c r="C661"/>
  <c r="C660"/>
  <c r="C659"/>
  <c r="C658"/>
  <c r="C657"/>
  <c r="C656"/>
  <c r="C655"/>
  <c r="C654"/>
  <c r="C653"/>
  <c r="C652"/>
  <c r="C651"/>
  <c r="C650"/>
  <c r="C649"/>
  <c r="C648"/>
  <c r="C647"/>
  <c r="C646"/>
  <c r="C645"/>
  <c r="C644"/>
  <c r="C642"/>
  <c r="C641"/>
  <c r="C640"/>
  <c r="C639"/>
  <c r="C638"/>
  <c r="C637"/>
  <c r="C636"/>
  <c r="C635"/>
  <c r="C634"/>
  <c r="C633"/>
  <c r="C632"/>
  <c r="C631"/>
  <c r="C630"/>
  <c r="C629"/>
  <c r="C628"/>
  <c r="C627"/>
  <c r="C626"/>
  <c r="C625"/>
  <c r="C624"/>
  <c r="C623"/>
  <c r="C622"/>
  <c r="C621"/>
  <c r="C620"/>
  <c r="C619"/>
  <c r="C618"/>
  <c r="C617"/>
  <c r="C616"/>
  <c r="C615"/>
  <c r="C614"/>
  <c r="C613"/>
  <c r="C612"/>
  <c r="C610"/>
  <c r="C609"/>
  <c r="C608"/>
  <c r="C607"/>
  <c r="C606"/>
  <c r="C605"/>
  <c r="C604"/>
  <c r="C603"/>
  <c r="C602"/>
  <c r="C601"/>
  <c r="C600"/>
  <c r="C599"/>
  <c r="C598"/>
  <c r="C597"/>
  <c r="C596"/>
  <c r="C595"/>
  <c r="C594"/>
  <c r="C593"/>
  <c r="C592"/>
  <c r="C591"/>
  <c r="C590"/>
  <c r="C589"/>
  <c r="C588"/>
  <c r="C587"/>
  <c r="C586"/>
  <c r="C585"/>
  <c r="C584"/>
  <c r="C582"/>
  <c r="C581"/>
  <c r="C580"/>
  <c r="C579"/>
  <c r="C578"/>
  <c r="C577"/>
  <c r="C576"/>
  <c r="C575"/>
  <c r="C574"/>
  <c r="C573"/>
  <c r="C572"/>
  <c r="C571"/>
  <c r="C570"/>
  <c r="C569"/>
  <c r="C568"/>
  <c r="C567"/>
  <c r="C566"/>
  <c r="C565"/>
  <c r="C564"/>
  <c r="C563"/>
  <c r="C562"/>
  <c r="C561"/>
  <c r="C560"/>
  <c r="C559"/>
  <c r="C558"/>
  <c r="C557"/>
  <c r="C556"/>
  <c r="C555"/>
  <c r="C554"/>
  <c r="C552"/>
  <c r="C551"/>
  <c r="C550"/>
  <c r="C549"/>
  <c r="C548"/>
  <c r="C547"/>
  <c r="C546"/>
  <c r="C545"/>
  <c r="C544"/>
  <c r="C543"/>
  <c r="C542"/>
  <c r="C541"/>
  <c r="C540"/>
  <c r="C539"/>
  <c r="C538"/>
  <c r="C537"/>
  <c r="C536"/>
  <c r="C535"/>
  <c r="C534"/>
  <c r="C533"/>
  <c r="C532"/>
  <c r="C531"/>
  <c r="C530"/>
  <c r="C529"/>
  <c r="C528"/>
  <c r="C527"/>
  <c r="C526"/>
  <c r="C525"/>
  <c r="C524"/>
  <c r="C523"/>
  <c r="C522"/>
  <c r="C521"/>
  <c r="C520"/>
  <c r="C519"/>
  <c r="C518"/>
  <c r="C517"/>
  <c r="C516"/>
  <c r="C515"/>
  <c r="C514"/>
  <c r="C513"/>
  <c r="C512"/>
  <c r="C511"/>
  <c r="C510"/>
  <c r="C509"/>
  <c r="C508"/>
  <c r="C507"/>
  <c r="C506"/>
  <c r="C505"/>
  <c r="C504"/>
  <c r="C503"/>
  <c r="C502"/>
  <c r="C501"/>
  <c r="C500"/>
  <c r="C499"/>
  <c r="C498"/>
  <c r="C497"/>
  <c r="C496"/>
  <c r="C495"/>
  <c r="C494"/>
  <c r="C493"/>
  <c r="C492"/>
  <c r="C491"/>
  <c r="C490"/>
  <c r="C489"/>
  <c r="C488"/>
  <c r="C487"/>
  <c r="C486"/>
  <c r="C485"/>
  <c r="C484"/>
  <c r="C483"/>
  <c r="C482"/>
  <c r="C481"/>
  <c r="C480"/>
  <c r="C479"/>
  <c r="C478"/>
  <c r="C477"/>
  <c r="C476"/>
  <c r="C475"/>
  <c r="C474"/>
  <c r="C473"/>
  <c r="C472"/>
  <c r="C471"/>
  <c r="C470"/>
  <c r="C469"/>
  <c r="C468"/>
  <c r="C467"/>
  <c r="C466"/>
  <c r="C465"/>
  <c r="C464"/>
  <c r="C463"/>
  <c r="C462"/>
  <c r="C461"/>
  <c r="C460"/>
  <c r="C459"/>
  <c r="C457"/>
  <c r="C456"/>
  <c r="C455"/>
  <c r="C454"/>
  <c r="C453"/>
  <c r="C452"/>
  <c r="C451"/>
  <c r="C450"/>
  <c r="C449"/>
  <c r="C448"/>
  <c r="C447"/>
  <c r="C446"/>
  <c r="C445"/>
  <c r="C444"/>
  <c r="C443"/>
  <c r="C442"/>
  <c r="C441"/>
  <c r="C440"/>
  <c r="C439"/>
  <c r="C438"/>
  <c r="C437"/>
  <c r="C436"/>
  <c r="C435"/>
  <c r="C434"/>
  <c r="C433"/>
  <c r="C432"/>
  <c r="C431"/>
  <c r="C430"/>
  <c r="C429"/>
  <c r="C428"/>
  <c r="C427"/>
  <c r="C426"/>
  <c r="C425"/>
  <c r="C424"/>
  <c r="C423"/>
  <c r="C422"/>
  <c r="C421"/>
  <c r="C420"/>
  <c r="C419"/>
  <c r="C418"/>
  <c r="C417"/>
  <c r="C416"/>
  <c r="C415"/>
  <c r="C414"/>
  <c r="C413"/>
  <c r="C412"/>
  <c r="C411"/>
  <c r="C410"/>
  <c r="C409"/>
  <c r="C408"/>
  <c r="C407"/>
  <c r="C405"/>
  <c r="C404"/>
  <c r="C403"/>
  <c r="C402"/>
  <c r="C401"/>
  <c r="C400"/>
  <c r="C399"/>
  <c r="C398"/>
  <c r="C397"/>
  <c r="C396"/>
  <c r="C395"/>
  <c r="C394"/>
  <c r="C393"/>
  <c r="C392"/>
  <c r="C391"/>
  <c r="C390"/>
  <c r="C389"/>
  <c r="C388"/>
  <c r="C387"/>
  <c r="C386"/>
  <c r="C385"/>
  <c r="C384"/>
  <c r="C383"/>
  <c r="C382"/>
  <c r="C381"/>
  <c r="C380"/>
  <c r="C379"/>
  <c r="C378"/>
  <c r="C377"/>
  <c r="C376"/>
  <c r="C375"/>
  <c r="C374"/>
  <c r="C373"/>
  <c r="C371"/>
  <c r="C370"/>
  <c r="C369"/>
  <c r="C368"/>
  <c r="C367"/>
  <c r="C366"/>
  <c r="C365"/>
  <c r="C364"/>
  <c r="C363"/>
  <c r="C362"/>
  <c r="C361"/>
  <c r="C360"/>
  <c r="C359"/>
  <c r="C358"/>
  <c r="C357"/>
  <c r="C356"/>
  <c r="C355"/>
  <c r="C354"/>
  <c r="C353"/>
  <c r="C352"/>
  <c r="C351"/>
  <c r="C350"/>
  <c r="C349"/>
  <c r="C348"/>
  <c r="C347"/>
  <c r="C346"/>
  <c r="C345"/>
  <c r="C344"/>
  <c r="C343"/>
  <c r="C342"/>
  <c r="C341"/>
  <c r="C340"/>
  <c r="C339"/>
  <c r="C338"/>
  <c r="C337"/>
  <c r="C336"/>
  <c r="C335"/>
  <c r="C334"/>
  <c r="C333"/>
  <c r="C332"/>
  <c r="C331"/>
  <c r="C330"/>
  <c r="C329"/>
  <c r="C328"/>
  <c r="C327"/>
  <c r="C326"/>
  <c r="C325"/>
  <c r="C324"/>
  <c r="C323"/>
  <c r="C322"/>
  <c r="C321"/>
  <c r="C320"/>
  <c r="C319"/>
  <c r="C318"/>
  <c r="C317"/>
  <c r="C316"/>
  <c r="C315"/>
  <c r="C314"/>
  <c r="C313"/>
  <c r="C312"/>
  <c r="C311"/>
  <c r="C310"/>
  <c r="C309"/>
  <c r="C308"/>
  <c r="C307"/>
  <c r="C306"/>
  <c r="C305"/>
  <c r="C304"/>
  <c r="C303"/>
  <c r="C301"/>
  <c r="C300"/>
  <c r="C299"/>
  <c r="C298"/>
  <c r="C297"/>
  <c r="C296"/>
  <c r="C295"/>
  <c r="C294"/>
  <c r="C293"/>
  <c r="C292"/>
  <c r="C291"/>
  <c r="C290"/>
  <c r="C289"/>
  <c r="C288"/>
  <c r="C287"/>
  <c r="C286"/>
  <c r="C285"/>
  <c r="C284"/>
  <c r="C283"/>
  <c r="C282"/>
  <c r="C281"/>
  <c r="C280"/>
  <c r="C279"/>
  <c r="C278"/>
  <c r="C277"/>
  <c r="C276"/>
  <c r="C275"/>
  <c r="C274"/>
  <c r="C273"/>
  <c r="C272"/>
  <c r="C271"/>
  <c r="C270"/>
  <c r="C269"/>
  <c r="C267"/>
  <c r="C266"/>
  <c r="C265"/>
  <c r="C264"/>
  <c r="C263"/>
  <c r="C262"/>
  <c r="C261"/>
  <c r="C260"/>
  <c r="C259"/>
  <c r="C258"/>
  <c r="C257"/>
  <c r="C256"/>
  <c r="C255"/>
  <c r="C254"/>
  <c r="C253"/>
  <c r="C252"/>
  <c r="C251"/>
  <c r="C250"/>
  <c r="C249"/>
  <c r="C248"/>
  <c r="C247"/>
  <c r="C246"/>
  <c r="C245"/>
  <c r="C244"/>
  <c r="C243"/>
  <c r="C242"/>
  <c r="C241"/>
  <c r="C240"/>
  <c r="C239"/>
  <c r="C238"/>
  <c r="C237"/>
  <c r="C236"/>
  <c r="C235"/>
  <c r="C234"/>
  <c r="C233"/>
  <c r="C232"/>
  <c r="C231"/>
  <c r="C230"/>
  <c r="C229"/>
  <c r="C228"/>
  <c r="C227"/>
  <c r="C226"/>
  <c r="C225"/>
  <c r="C224"/>
  <c r="C223"/>
  <c r="C222"/>
  <c r="C221"/>
  <c r="C220"/>
  <c r="C219"/>
  <c r="C218"/>
  <c r="C217"/>
  <c r="C216"/>
  <c r="C215"/>
  <c r="C214"/>
  <c r="C213"/>
  <c r="C212"/>
  <c r="C211"/>
  <c r="C210"/>
  <c r="C209"/>
  <c r="C208"/>
  <c r="C207"/>
  <c r="C206"/>
  <c r="C205"/>
  <c r="C204"/>
  <c r="C203"/>
  <c r="C202"/>
  <c r="C201"/>
  <c r="C200"/>
  <c r="C199"/>
  <c r="C198"/>
  <c r="C197"/>
  <c r="C196"/>
  <c r="C195"/>
  <c r="C194"/>
  <c r="C193"/>
  <c r="C192"/>
  <c r="C191"/>
  <c r="C190"/>
  <c r="C189"/>
  <c r="C188"/>
  <c r="C187"/>
  <c r="C186"/>
  <c r="C185"/>
  <c r="C184"/>
  <c r="C183"/>
  <c r="C182"/>
  <c r="C181"/>
  <c r="C180"/>
  <c r="C179"/>
  <c r="C177"/>
  <c r="C176"/>
  <c r="C175"/>
  <c r="C174"/>
  <c r="C173"/>
  <c r="C172"/>
  <c r="C171"/>
  <c r="C170"/>
  <c r="C169"/>
  <c r="C168"/>
  <c r="C167"/>
  <c r="C166"/>
  <c r="C165"/>
  <c r="C164"/>
  <c r="C163"/>
  <c r="C162"/>
  <c r="C161"/>
  <c r="C160"/>
  <c r="C159"/>
  <c r="C158"/>
  <c r="C157"/>
  <c r="C156"/>
  <c r="C155"/>
  <c r="C154"/>
  <c r="C153"/>
  <c r="C152"/>
  <c r="C151"/>
  <c r="C150"/>
  <c r="C149"/>
  <c r="C148"/>
  <c r="C147"/>
  <c r="C146"/>
  <c r="C145"/>
  <c r="C144"/>
  <c r="C143"/>
  <c r="C142"/>
  <c r="C141"/>
  <c r="C140"/>
  <c r="C139"/>
  <c r="C138"/>
  <c r="C137"/>
  <c r="C136"/>
  <c r="C135"/>
  <c r="C134"/>
  <c r="C133"/>
  <c r="C132"/>
  <c r="C131"/>
  <c r="C130"/>
  <c r="C129"/>
  <c r="C128"/>
  <c r="C127"/>
  <c r="C126"/>
  <c r="C125"/>
  <c r="C124"/>
  <c r="C123"/>
  <c r="C122"/>
  <c r="C121"/>
  <c r="C120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7"/>
  <c r="C6"/>
  <c r="C5"/>
  <c r="C4"/>
  <c r="C3"/>
  <c r="C2"/>
  <c r="C3" i="1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1"/>
  <c r="C252"/>
  <c r="C253"/>
  <c r="C254"/>
  <c r="C255"/>
  <c r="C256"/>
  <c r="C257"/>
  <c r="C258"/>
  <c r="C259"/>
  <c r="C260"/>
  <c r="C261"/>
  <c r="C262"/>
  <c r="C263"/>
  <c r="C264"/>
  <c r="C265"/>
  <c r="C266"/>
  <c r="C267"/>
  <c r="C268"/>
  <c r="C269"/>
  <c r="C270"/>
  <c r="C271"/>
  <c r="C272"/>
  <c r="C273"/>
  <c r="C274"/>
  <c r="C275"/>
  <c r="C276"/>
  <c r="C277"/>
  <c r="C278"/>
  <c r="C279"/>
  <c r="C280"/>
  <c r="C281"/>
  <c r="C282"/>
  <c r="C283"/>
  <c r="C284"/>
  <c r="C285"/>
  <c r="C286"/>
  <c r="C287"/>
  <c r="C288"/>
  <c r="C289"/>
  <c r="C290"/>
  <c r="C291"/>
  <c r="C292"/>
  <c r="C293"/>
  <c r="C294"/>
  <c r="C295"/>
  <c r="C296"/>
  <c r="C297"/>
  <c r="C298"/>
  <c r="C299"/>
  <c r="C300"/>
  <c r="C301"/>
  <c r="C302"/>
  <c r="C303"/>
  <c r="C304"/>
  <c r="C305"/>
  <c r="C306"/>
  <c r="C307"/>
  <c r="C308"/>
  <c r="C309"/>
  <c r="C310"/>
  <c r="C311"/>
  <c r="C312"/>
  <c r="C313"/>
  <c r="C314"/>
  <c r="C315"/>
  <c r="C316"/>
  <c r="C317"/>
  <c r="C318"/>
  <c r="C319"/>
  <c r="C320"/>
  <c r="C321"/>
  <c r="C322"/>
  <c r="C323"/>
  <c r="C324"/>
  <c r="C325"/>
  <c r="C326"/>
  <c r="C327"/>
  <c r="C328"/>
  <c r="C329"/>
  <c r="C330"/>
  <c r="C331"/>
  <c r="C332"/>
  <c r="C333"/>
  <c r="C334"/>
  <c r="C335"/>
  <c r="C336"/>
  <c r="C337"/>
  <c r="C338"/>
  <c r="C339"/>
  <c r="C340"/>
  <c r="C341"/>
  <c r="C342"/>
  <c r="C343"/>
  <c r="C344"/>
  <c r="C345"/>
  <c r="C346"/>
  <c r="C347"/>
  <c r="C348"/>
  <c r="C349"/>
  <c r="C350"/>
  <c r="C351"/>
  <c r="C352"/>
  <c r="C353"/>
  <c r="C354"/>
  <c r="C355"/>
  <c r="C356"/>
  <c r="C357"/>
  <c r="C358"/>
  <c r="C359"/>
  <c r="C360"/>
  <c r="C361"/>
  <c r="C362"/>
  <c r="C363"/>
  <c r="C364"/>
  <c r="C365"/>
  <c r="C366"/>
  <c r="C367"/>
  <c r="C368"/>
  <c r="C369"/>
  <c r="C370"/>
  <c r="C371"/>
  <c r="C372"/>
  <c r="C373"/>
  <c r="C374"/>
  <c r="C375"/>
  <c r="C376"/>
  <c r="C377"/>
  <c r="C378"/>
  <c r="C379"/>
  <c r="C380"/>
  <c r="C381"/>
  <c r="C382"/>
  <c r="C383"/>
  <c r="C384"/>
  <c r="C385"/>
  <c r="C386"/>
  <c r="C387"/>
  <c r="C388"/>
  <c r="C389"/>
  <c r="C390"/>
  <c r="C391"/>
  <c r="C392"/>
  <c r="C393"/>
  <c r="C394"/>
  <c r="C395"/>
  <c r="C396"/>
  <c r="C397"/>
  <c r="C398"/>
  <c r="C399"/>
  <c r="C400"/>
  <c r="C401"/>
  <c r="C402"/>
  <c r="C403"/>
  <c r="C404"/>
  <c r="C405"/>
  <c r="C406"/>
  <c r="C407"/>
  <c r="C408"/>
  <c r="C409"/>
  <c r="C410"/>
  <c r="C411"/>
  <c r="C412"/>
  <c r="C413"/>
  <c r="C414"/>
  <c r="C415"/>
  <c r="C416"/>
  <c r="C417"/>
  <c r="C418"/>
  <c r="C419"/>
  <c r="C420"/>
  <c r="C421"/>
  <c r="C422"/>
  <c r="C423"/>
  <c r="C424"/>
  <c r="C425"/>
  <c r="C426"/>
  <c r="C427"/>
  <c r="C428"/>
  <c r="C429"/>
  <c r="C430"/>
  <c r="C431"/>
  <c r="C432"/>
  <c r="C433"/>
  <c r="C434"/>
  <c r="C435"/>
  <c r="C436"/>
  <c r="C437"/>
  <c r="C438"/>
  <c r="C439"/>
  <c r="C440"/>
  <c r="C441"/>
  <c r="C442"/>
  <c r="C443"/>
  <c r="C444"/>
  <c r="C445"/>
  <c r="C446"/>
  <c r="C447"/>
  <c r="C448"/>
  <c r="C449"/>
  <c r="C450"/>
  <c r="C451"/>
  <c r="C452"/>
  <c r="C453"/>
  <c r="C454"/>
  <c r="C455"/>
  <c r="C456"/>
  <c r="C457"/>
  <c r="C458"/>
  <c r="C459"/>
  <c r="C460"/>
  <c r="C461"/>
  <c r="C462"/>
  <c r="C463"/>
  <c r="C464"/>
  <c r="C465"/>
  <c r="C466"/>
  <c r="C467"/>
  <c r="C468"/>
  <c r="C469"/>
  <c r="C470"/>
  <c r="C471"/>
  <c r="C472"/>
  <c r="C473"/>
  <c r="C474"/>
  <c r="C475"/>
  <c r="C476"/>
  <c r="C477"/>
  <c r="C478"/>
  <c r="C479"/>
  <c r="C480"/>
  <c r="C481"/>
  <c r="C482"/>
  <c r="C483"/>
  <c r="C484"/>
  <c r="C485"/>
  <c r="C486"/>
  <c r="C487"/>
  <c r="C488"/>
  <c r="C489"/>
  <c r="C490"/>
  <c r="C491"/>
  <c r="C492"/>
  <c r="C493"/>
  <c r="C494"/>
  <c r="C495"/>
  <c r="C496"/>
  <c r="C497"/>
  <c r="C498"/>
  <c r="C499"/>
  <c r="C500"/>
  <c r="C501"/>
  <c r="C502"/>
  <c r="C503"/>
  <c r="C504"/>
  <c r="C505"/>
  <c r="C506"/>
  <c r="C507"/>
  <c r="C508"/>
  <c r="C509"/>
  <c r="C510"/>
  <c r="C511"/>
  <c r="C512"/>
  <c r="C513"/>
  <c r="C514"/>
  <c r="C515"/>
  <c r="C516"/>
  <c r="C517"/>
  <c r="C518"/>
  <c r="C519"/>
  <c r="C520"/>
  <c r="C521"/>
  <c r="C522"/>
  <c r="C523"/>
  <c r="C524"/>
  <c r="C525"/>
  <c r="C526"/>
  <c r="C527"/>
  <c r="C528"/>
  <c r="C529"/>
  <c r="C530"/>
  <c r="C531"/>
  <c r="C532"/>
  <c r="C533"/>
  <c r="C534"/>
  <c r="C535"/>
  <c r="C536"/>
  <c r="C537"/>
  <c r="C538"/>
  <c r="C539"/>
  <c r="C540"/>
  <c r="C541"/>
  <c r="C542"/>
  <c r="C543"/>
  <c r="C544"/>
  <c r="C545"/>
  <c r="C546"/>
  <c r="C547"/>
  <c r="C548"/>
  <c r="C549"/>
  <c r="C550"/>
  <c r="C551"/>
  <c r="C552"/>
  <c r="C553"/>
  <c r="C554"/>
  <c r="C555"/>
  <c r="C556"/>
  <c r="C557"/>
  <c r="C558"/>
  <c r="C559"/>
  <c r="C560"/>
  <c r="C561"/>
  <c r="C562"/>
  <c r="C563"/>
  <c r="C564"/>
  <c r="C565"/>
  <c r="C566"/>
  <c r="C567"/>
  <c r="C568"/>
  <c r="C569"/>
  <c r="C570"/>
  <c r="C571"/>
  <c r="C572"/>
  <c r="C573"/>
  <c r="C574"/>
  <c r="C575"/>
  <c r="C576"/>
  <c r="C577"/>
  <c r="C578"/>
  <c r="C579"/>
  <c r="C580"/>
  <c r="C581"/>
  <c r="C582"/>
  <c r="C583"/>
  <c r="C584"/>
  <c r="C585"/>
  <c r="C586"/>
  <c r="C587"/>
  <c r="C588"/>
  <c r="C589"/>
  <c r="C590"/>
  <c r="C591"/>
  <c r="C592"/>
  <c r="C593"/>
  <c r="C594"/>
  <c r="C595"/>
  <c r="C596"/>
  <c r="C597"/>
  <c r="C598"/>
  <c r="C599"/>
  <c r="C600"/>
  <c r="C601"/>
  <c r="C602"/>
  <c r="C603"/>
  <c r="C604"/>
  <c r="C605"/>
  <c r="C606"/>
  <c r="C607"/>
  <c r="C608"/>
  <c r="C609"/>
  <c r="C610"/>
  <c r="C611"/>
  <c r="C612"/>
  <c r="C613"/>
  <c r="C614"/>
  <c r="C615"/>
  <c r="C616"/>
  <c r="C617"/>
  <c r="C618"/>
  <c r="C619"/>
  <c r="C620"/>
  <c r="C621"/>
  <c r="C622"/>
  <c r="C623"/>
  <c r="C624"/>
  <c r="C625"/>
  <c r="C626"/>
  <c r="C627"/>
  <c r="C628"/>
  <c r="C629"/>
  <c r="C630"/>
  <c r="C631"/>
  <c r="C632"/>
  <c r="C633"/>
  <c r="C634"/>
  <c r="C635"/>
  <c r="C636"/>
  <c r="C637"/>
  <c r="C638"/>
  <c r="C639"/>
  <c r="C640"/>
  <c r="C641"/>
  <c r="C642"/>
  <c r="C643"/>
  <c r="C644"/>
  <c r="C645"/>
  <c r="C646"/>
  <c r="C647"/>
  <c r="C648"/>
  <c r="C649"/>
  <c r="C650"/>
  <c r="C651"/>
  <c r="C652"/>
  <c r="C653"/>
  <c r="C654"/>
  <c r="C655"/>
  <c r="C656"/>
  <c r="C657"/>
  <c r="C658"/>
  <c r="C659"/>
  <c r="C660"/>
  <c r="C661"/>
  <c r="C662"/>
  <c r="C663"/>
  <c r="C664"/>
  <c r="C665"/>
  <c r="C666"/>
  <c r="C667"/>
  <c r="C668"/>
  <c r="C669"/>
  <c r="C670"/>
  <c r="C671"/>
  <c r="C672"/>
  <c r="C673"/>
  <c r="C674"/>
  <c r="C675"/>
  <c r="C676"/>
  <c r="C677"/>
  <c r="C678"/>
  <c r="C679"/>
  <c r="C680"/>
  <c r="C681"/>
  <c r="C682"/>
  <c r="C683"/>
  <c r="C684"/>
  <c r="C685"/>
  <c r="C686"/>
  <c r="C687"/>
  <c r="C688"/>
  <c r="C689"/>
  <c r="C690"/>
  <c r="C691"/>
  <c r="C692"/>
  <c r="C693"/>
  <c r="C694"/>
  <c r="C695"/>
  <c r="C696"/>
  <c r="C697"/>
  <c r="C698"/>
  <c r="C699"/>
  <c r="C700"/>
  <c r="C701"/>
  <c r="C702"/>
  <c r="C703"/>
  <c r="C704"/>
  <c r="C705"/>
  <c r="C706"/>
  <c r="C707"/>
  <c r="C708"/>
  <c r="C709"/>
  <c r="C710"/>
  <c r="C711"/>
  <c r="C712"/>
  <c r="C713"/>
  <c r="C714"/>
  <c r="C715"/>
  <c r="C716"/>
  <c r="C717"/>
  <c r="C718"/>
  <c r="C719"/>
  <c r="C720"/>
  <c r="C721"/>
  <c r="C722"/>
  <c r="C723"/>
  <c r="C724"/>
  <c r="C725"/>
  <c r="C726"/>
  <c r="C727"/>
  <c r="C728"/>
  <c r="C729"/>
  <c r="C730"/>
  <c r="C731"/>
  <c r="C732"/>
  <c r="C733"/>
  <c r="C734"/>
  <c r="C735"/>
  <c r="C736"/>
  <c r="C737"/>
  <c r="C738"/>
  <c r="C739"/>
  <c r="C740"/>
  <c r="C741"/>
  <c r="C742"/>
  <c r="C743"/>
  <c r="C2"/>
  <c r="L602"/>
  <c r="L3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102"/>
  <c r="L103"/>
  <c r="L104"/>
  <c r="L105"/>
  <c r="L106"/>
  <c r="L107"/>
  <c r="L108"/>
  <c r="L109"/>
  <c r="L110"/>
  <c r="L111"/>
  <c r="L112"/>
  <c r="L113"/>
  <c r="L114"/>
  <c r="L115"/>
  <c r="L116"/>
  <c r="L117"/>
  <c r="L118"/>
  <c r="L119"/>
  <c r="L120"/>
  <c r="L121"/>
  <c r="L122"/>
  <c r="L123"/>
  <c r="L124"/>
  <c r="L125"/>
  <c r="L126"/>
  <c r="L127"/>
  <c r="L128"/>
  <c r="L129"/>
  <c r="L130"/>
  <c r="L131"/>
  <c r="L132"/>
  <c r="L133"/>
  <c r="L134"/>
  <c r="L135"/>
  <c r="L136"/>
  <c r="L137"/>
  <c r="L138"/>
  <c r="L139"/>
  <c r="L140"/>
  <c r="L141"/>
  <c r="L142"/>
  <c r="L143"/>
  <c r="L144"/>
  <c r="L145"/>
  <c r="L146"/>
  <c r="L147"/>
  <c r="L148"/>
  <c r="L149"/>
  <c r="L150"/>
  <c r="L151"/>
  <c r="L152"/>
  <c r="L153"/>
  <c r="L154"/>
  <c r="L155"/>
  <c r="L156"/>
  <c r="L157"/>
  <c r="L158"/>
  <c r="L159"/>
  <c r="L160"/>
  <c r="L161"/>
  <c r="L162"/>
  <c r="L163"/>
  <c r="L164"/>
  <c r="L165"/>
  <c r="L166"/>
  <c r="L167"/>
  <c r="L168"/>
  <c r="L169"/>
  <c r="L170"/>
  <c r="L171"/>
  <c r="L172"/>
  <c r="L173"/>
  <c r="L174"/>
  <c r="L175"/>
  <c r="L176"/>
  <c r="L177"/>
  <c r="L178"/>
  <c r="L179"/>
  <c r="L180"/>
  <c r="L181"/>
  <c r="L182"/>
  <c r="L183"/>
  <c r="L184"/>
  <c r="L185"/>
  <c r="L186"/>
  <c r="L187"/>
  <c r="L188"/>
  <c r="L189"/>
  <c r="L190"/>
  <c r="L191"/>
  <c r="L192"/>
  <c r="L193"/>
  <c r="L194"/>
  <c r="L195"/>
  <c r="L196"/>
  <c r="L197"/>
  <c r="L198"/>
  <c r="L199"/>
  <c r="L200"/>
  <c r="L201"/>
  <c r="L202"/>
  <c r="L203"/>
  <c r="L204"/>
  <c r="L205"/>
  <c r="L206"/>
  <c r="L207"/>
  <c r="L208"/>
  <c r="L209"/>
  <c r="L210"/>
  <c r="L211"/>
  <c r="L212"/>
  <c r="L213"/>
  <c r="L214"/>
  <c r="L215"/>
  <c r="L216"/>
  <c r="L217"/>
  <c r="L218"/>
  <c r="L219"/>
  <c r="L220"/>
  <c r="L221"/>
  <c r="L222"/>
  <c r="L223"/>
  <c r="L224"/>
  <c r="L225"/>
  <c r="L226"/>
  <c r="L227"/>
  <c r="L228"/>
  <c r="L229"/>
  <c r="L230"/>
  <c r="L231"/>
  <c r="L232"/>
  <c r="L233"/>
  <c r="L234"/>
  <c r="L235"/>
  <c r="L236"/>
  <c r="L237"/>
  <c r="L238"/>
  <c r="L239"/>
  <c r="L240"/>
  <c r="L241"/>
  <c r="L242"/>
  <c r="L243"/>
  <c r="L244"/>
  <c r="L245"/>
  <c r="L246"/>
  <c r="L247"/>
  <c r="L248"/>
  <c r="L249"/>
  <c r="L250"/>
  <c r="L251"/>
  <c r="L252"/>
  <c r="L253"/>
  <c r="L254"/>
  <c r="L255"/>
  <c r="L256"/>
  <c r="L257"/>
  <c r="L258"/>
  <c r="L259"/>
  <c r="L260"/>
  <c r="L261"/>
  <c r="L262"/>
  <c r="L263"/>
  <c r="L264"/>
  <c r="L265"/>
  <c r="L266"/>
  <c r="L267"/>
  <c r="L268"/>
  <c r="L269"/>
  <c r="L270"/>
  <c r="L271"/>
  <c r="L272"/>
  <c r="L273"/>
  <c r="L274"/>
  <c r="L275"/>
  <c r="L276"/>
  <c r="L277"/>
  <c r="L278"/>
  <c r="L279"/>
  <c r="L280"/>
  <c r="L281"/>
  <c r="L282"/>
  <c r="L283"/>
  <c r="L284"/>
  <c r="L285"/>
  <c r="L286"/>
  <c r="L287"/>
  <c r="L288"/>
  <c r="L289"/>
  <c r="L290"/>
  <c r="L291"/>
  <c r="L292"/>
  <c r="L293"/>
  <c r="L294"/>
  <c r="L295"/>
  <c r="L296"/>
  <c r="L297"/>
  <c r="L298"/>
  <c r="L299"/>
  <c r="L300"/>
  <c r="L301"/>
  <c r="L302"/>
  <c r="L303"/>
  <c r="L304"/>
  <c r="L305"/>
  <c r="L306"/>
  <c r="L307"/>
  <c r="L308"/>
  <c r="L309"/>
  <c r="L310"/>
  <c r="L311"/>
  <c r="L312"/>
  <c r="L313"/>
  <c r="L314"/>
  <c r="L315"/>
  <c r="L316"/>
  <c r="L317"/>
  <c r="L318"/>
  <c r="L319"/>
  <c r="L320"/>
  <c r="L321"/>
  <c r="L322"/>
  <c r="L323"/>
  <c r="L324"/>
  <c r="L325"/>
  <c r="L326"/>
  <c r="L327"/>
  <c r="L328"/>
  <c r="L329"/>
  <c r="L330"/>
  <c r="L331"/>
  <c r="L332"/>
  <c r="L333"/>
  <c r="L334"/>
  <c r="L335"/>
  <c r="L336"/>
  <c r="L337"/>
  <c r="L338"/>
  <c r="L339"/>
  <c r="L340"/>
  <c r="L341"/>
  <c r="L342"/>
  <c r="L343"/>
  <c r="L344"/>
  <c r="L345"/>
  <c r="L346"/>
  <c r="L347"/>
  <c r="L348"/>
  <c r="L349"/>
  <c r="L350"/>
  <c r="L351"/>
  <c r="L352"/>
  <c r="L353"/>
  <c r="L354"/>
  <c r="L355"/>
  <c r="L356"/>
  <c r="L357"/>
  <c r="L358"/>
  <c r="L359"/>
  <c r="L360"/>
  <c r="L361"/>
  <c r="L362"/>
  <c r="L363"/>
  <c r="L364"/>
  <c r="L365"/>
  <c r="L366"/>
  <c r="L367"/>
  <c r="L368"/>
  <c r="L369"/>
  <c r="L370"/>
  <c r="L371"/>
  <c r="L372"/>
  <c r="L373"/>
  <c r="L374"/>
  <c r="L375"/>
  <c r="L376"/>
  <c r="L377"/>
  <c r="L378"/>
  <c r="L379"/>
  <c r="L380"/>
  <c r="L381"/>
  <c r="L382"/>
  <c r="L383"/>
  <c r="L384"/>
  <c r="L385"/>
  <c r="L386"/>
  <c r="L387"/>
  <c r="L388"/>
  <c r="L389"/>
  <c r="L390"/>
  <c r="L391"/>
  <c r="L392"/>
  <c r="L393"/>
  <c r="L394"/>
  <c r="L395"/>
  <c r="L396"/>
  <c r="L397"/>
  <c r="L398"/>
  <c r="L399"/>
  <c r="L400"/>
  <c r="L401"/>
  <c r="L402"/>
  <c r="L403"/>
  <c r="L404"/>
  <c r="L405"/>
  <c r="L406"/>
  <c r="L407"/>
  <c r="L408"/>
  <c r="L409"/>
  <c r="L410"/>
  <c r="L411"/>
  <c r="L412"/>
  <c r="L413"/>
  <c r="L414"/>
  <c r="L415"/>
  <c r="L416"/>
  <c r="L417"/>
  <c r="L418"/>
  <c r="L419"/>
  <c r="L420"/>
  <c r="L421"/>
  <c r="L422"/>
  <c r="L423"/>
  <c r="L424"/>
  <c r="L425"/>
  <c r="L426"/>
  <c r="L427"/>
  <c r="L428"/>
  <c r="L429"/>
  <c r="L430"/>
  <c r="L431"/>
  <c r="L432"/>
  <c r="L433"/>
  <c r="L434"/>
  <c r="L435"/>
  <c r="L436"/>
  <c r="L437"/>
  <c r="L438"/>
  <c r="L439"/>
  <c r="L440"/>
  <c r="L441"/>
  <c r="L442"/>
  <c r="L443"/>
  <c r="L444"/>
  <c r="L445"/>
  <c r="L446"/>
  <c r="L447"/>
  <c r="L448"/>
  <c r="L449"/>
  <c r="L450"/>
  <c r="L451"/>
  <c r="L452"/>
  <c r="L453"/>
  <c r="L454"/>
  <c r="L455"/>
  <c r="L456"/>
  <c r="L457"/>
  <c r="L458"/>
  <c r="L459"/>
  <c r="L460"/>
  <c r="L461"/>
  <c r="L462"/>
  <c r="L463"/>
  <c r="L464"/>
  <c r="L465"/>
  <c r="L466"/>
  <c r="L467"/>
  <c r="L468"/>
  <c r="L469"/>
  <c r="L470"/>
  <c r="L471"/>
  <c r="L472"/>
  <c r="L473"/>
  <c r="L474"/>
  <c r="L475"/>
  <c r="L476"/>
  <c r="L477"/>
  <c r="L478"/>
  <c r="L479"/>
  <c r="L480"/>
  <c r="L481"/>
  <c r="L482"/>
  <c r="L483"/>
  <c r="L484"/>
  <c r="L485"/>
  <c r="L486"/>
  <c r="L487"/>
  <c r="L488"/>
  <c r="L489"/>
  <c r="L490"/>
  <c r="L491"/>
  <c r="L492"/>
  <c r="L493"/>
  <c r="L494"/>
  <c r="L495"/>
  <c r="L496"/>
  <c r="L497"/>
  <c r="L498"/>
  <c r="L499"/>
  <c r="L500"/>
  <c r="L501"/>
  <c r="L502"/>
  <c r="L503"/>
  <c r="L504"/>
  <c r="L505"/>
  <c r="L506"/>
  <c r="L507"/>
  <c r="L508"/>
  <c r="L509"/>
  <c r="L510"/>
  <c r="L511"/>
  <c r="L512"/>
  <c r="L513"/>
  <c r="L514"/>
  <c r="L515"/>
  <c r="L516"/>
  <c r="L517"/>
  <c r="L518"/>
  <c r="L519"/>
  <c r="L520"/>
  <c r="L521"/>
  <c r="L522"/>
  <c r="L523"/>
  <c r="L524"/>
  <c r="L525"/>
  <c r="L526"/>
  <c r="L527"/>
  <c r="L528"/>
  <c r="L529"/>
  <c r="L530"/>
  <c r="L531"/>
  <c r="L532"/>
  <c r="L533"/>
  <c r="L534"/>
  <c r="L535"/>
  <c r="L536"/>
  <c r="L537"/>
  <c r="L538"/>
  <c r="L539"/>
  <c r="L540"/>
  <c r="L541"/>
  <c r="L542"/>
  <c r="L543"/>
  <c r="L544"/>
  <c r="L545"/>
  <c r="L546"/>
  <c r="L547"/>
  <c r="L548"/>
  <c r="L549"/>
  <c r="L550"/>
  <c r="L551"/>
  <c r="L552"/>
  <c r="L553"/>
  <c r="L554"/>
  <c r="L555"/>
  <c r="L556"/>
  <c r="L557"/>
  <c r="L558"/>
  <c r="L559"/>
  <c r="L560"/>
  <c r="L561"/>
  <c r="L562"/>
  <c r="L563"/>
  <c r="L564"/>
  <c r="L565"/>
  <c r="L566"/>
  <c r="L567"/>
  <c r="L568"/>
  <c r="L569"/>
  <c r="L570"/>
  <c r="L571"/>
  <c r="L572"/>
  <c r="L573"/>
  <c r="L574"/>
  <c r="L575"/>
  <c r="L576"/>
  <c r="L577"/>
  <c r="L578"/>
  <c r="L579"/>
  <c r="L580"/>
  <c r="L581"/>
  <c r="L582"/>
  <c r="L583"/>
  <c r="L584"/>
  <c r="L585"/>
  <c r="L586"/>
  <c r="L587"/>
  <c r="L588"/>
  <c r="L589"/>
  <c r="L590"/>
  <c r="L591"/>
  <c r="L592"/>
  <c r="L593"/>
  <c r="L594"/>
  <c r="L595"/>
  <c r="L596"/>
  <c r="L597"/>
  <c r="L598"/>
  <c r="L599"/>
  <c r="L600"/>
  <c r="L601"/>
  <c r="L603"/>
  <c r="L604"/>
  <c r="L605"/>
  <c r="L606"/>
  <c r="L607"/>
  <c r="L608"/>
  <c r="L609"/>
  <c r="L610"/>
  <c r="L611"/>
  <c r="L612"/>
  <c r="L613"/>
  <c r="L614"/>
  <c r="L615"/>
  <c r="L616"/>
  <c r="L617"/>
  <c r="L618"/>
  <c r="L619"/>
  <c r="L620"/>
  <c r="L621"/>
  <c r="L622"/>
  <c r="L623"/>
  <c r="L624"/>
  <c r="L625"/>
  <c r="L626"/>
  <c r="L627"/>
  <c r="L628"/>
  <c r="L629"/>
  <c r="L630"/>
  <c r="L631"/>
  <c r="L632"/>
  <c r="L633"/>
  <c r="L634"/>
  <c r="L635"/>
  <c r="L636"/>
  <c r="L637"/>
  <c r="L638"/>
  <c r="L639"/>
  <c r="L640"/>
  <c r="L641"/>
  <c r="L642"/>
  <c r="L643"/>
  <c r="L644"/>
  <c r="L645"/>
  <c r="L646"/>
  <c r="L647"/>
  <c r="L648"/>
  <c r="L649"/>
  <c r="L650"/>
  <c r="L651"/>
  <c r="L652"/>
  <c r="L653"/>
  <c r="L654"/>
  <c r="L655"/>
  <c r="L656"/>
  <c r="L657"/>
  <c r="L658"/>
  <c r="L659"/>
  <c r="L660"/>
  <c r="L661"/>
  <c r="L662"/>
  <c r="L663"/>
  <c r="L664"/>
  <c r="L665"/>
  <c r="L666"/>
  <c r="L667"/>
  <c r="L668"/>
  <c r="L669"/>
  <c r="L670"/>
  <c r="L671"/>
  <c r="L672"/>
  <c r="L673"/>
  <c r="L674"/>
  <c r="L675"/>
  <c r="L676"/>
  <c r="L677"/>
  <c r="L678"/>
  <c r="L679"/>
  <c r="L680"/>
  <c r="L681"/>
  <c r="L682"/>
  <c r="L683"/>
  <c r="L684"/>
  <c r="L685"/>
  <c r="L686"/>
  <c r="L687"/>
  <c r="L688"/>
  <c r="L689"/>
  <c r="L690"/>
  <c r="L691"/>
  <c r="L692"/>
  <c r="L693"/>
  <c r="L694"/>
  <c r="L695"/>
  <c r="L696"/>
  <c r="L697"/>
  <c r="L698"/>
  <c r="L699"/>
  <c r="L700"/>
  <c r="L701"/>
  <c r="L702"/>
  <c r="L703"/>
  <c r="L704"/>
  <c r="L705"/>
  <c r="L706"/>
  <c r="L707"/>
  <c r="L708"/>
  <c r="L709"/>
  <c r="L710"/>
  <c r="L711"/>
  <c r="L712"/>
  <c r="L713"/>
  <c r="L714"/>
  <c r="L715"/>
  <c r="L716"/>
  <c r="L717"/>
  <c r="L718"/>
  <c r="L719"/>
  <c r="L720"/>
  <c r="L721"/>
  <c r="L722"/>
  <c r="L723"/>
  <c r="L724"/>
  <c r="L725"/>
  <c r="L726"/>
  <c r="L727"/>
  <c r="L728"/>
  <c r="L729"/>
  <c r="L730"/>
  <c r="L731"/>
  <c r="L732"/>
  <c r="L733"/>
  <c r="L734"/>
  <c r="L735"/>
  <c r="L736"/>
  <c r="L737"/>
  <c r="L738"/>
  <c r="L739"/>
  <c r="L740"/>
  <c r="L741"/>
  <c r="L742"/>
  <c r="L743"/>
  <c r="L2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152"/>
  <c r="B153"/>
  <c r="B154"/>
  <c r="B155"/>
  <c r="B156"/>
  <c r="B157"/>
  <c r="B158"/>
  <c r="B159"/>
  <c r="B160"/>
  <c r="B161"/>
  <c r="B162"/>
  <c r="B163"/>
  <c r="B164"/>
  <c r="B165"/>
  <c r="B166"/>
  <c r="B167"/>
  <c r="B168"/>
  <c r="B169"/>
  <c r="B170"/>
  <c r="B171"/>
  <c r="B172"/>
  <c r="B173"/>
  <c r="B174"/>
  <c r="B175"/>
  <c r="B176"/>
  <c r="B177"/>
  <c r="B178"/>
  <c r="B179"/>
  <c r="B180"/>
  <c r="B181"/>
  <c r="B182"/>
  <c r="B183"/>
  <c r="B184"/>
  <c r="B185"/>
  <c r="B186"/>
  <c r="B187"/>
  <c r="B188"/>
  <c r="B189"/>
  <c r="B190"/>
  <c r="B191"/>
  <c r="B192"/>
  <c r="B193"/>
  <c r="B194"/>
  <c r="B195"/>
  <c r="B196"/>
  <c r="B197"/>
  <c r="B198"/>
  <c r="B199"/>
  <c r="B200"/>
  <c r="B201"/>
  <c r="B202"/>
  <c r="B203"/>
  <c r="B204"/>
  <c r="B205"/>
  <c r="B206"/>
  <c r="B207"/>
  <c r="B208"/>
  <c r="B209"/>
  <c r="B210"/>
  <c r="B211"/>
  <c r="B212"/>
  <c r="B213"/>
  <c r="B214"/>
  <c r="B215"/>
  <c r="B216"/>
  <c r="B217"/>
  <c r="B218"/>
  <c r="B219"/>
  <c r="B220"/>
  <c r="B221"/>
  <c r="B222"/>
  <c r="B223"/>
  <c r="B224"/>
  <c r="B225"/>
  <c r="B226"/>
  <c r="B227"/>
  <c r="B228"/>
  <c r="B229"/>
  <c r="B230"/>
  <c r="B231"/>
  <c r="B232"/>
  <c r="B233"/>
  <c r="B234"/>
  <c r="B235"/>
  <c r="B236"/>
  <c r="B237"/>
  <c r="B238"/>
  <c r="B239"/>
  <c r="B240"/>
  <c r="B241"/>
  <c r="B242"/>
  <c r="B243"/>
  <c r="B244"/>
  <c r="B245"/>
  <c r="B246"/>
  <c r="B247"/>
  <c r="B248"/>
  <c r="B249"/>
  <c r="B250"/>
  <c r="B251"/>
  <c r="B252"/>
  <c r="B253"/>
  <c r="B254"/>
  <c r="B255"/>
  <c r="B256"/>
  <c r="B257"/>
  <c r="B258"/>
  <c r="B259"/>
  <c r="B260"/>
  <c r="B261"/>
  <c r="B262"/>
  <c r="B263"/>
  <c r="B264"/>
  <c r="B265"/>
  <c r="B266"/>
  <c r="B267"/>
  <c r="B268"/>
  <c r="B269"/>
  <c r="B270"/>
  <c r="B271"/>
  <c r="B272"/>
  <c r="B273"/>
  <c r="B274"/>
  <c r="B275"/>
  <c r="B276"/>
  <c r="B277"/>
  <c r="B278"/>
  <c r="B279"/>
  <c r="B280"/>
  <c r="B281"/>
  <c r="B282"/>
  <c r="B283"/>
  <c r="B284"/>
  <c r="B285"/>
  <c r="B286"/>
  <c r="B287"/>
  <c r="B288"/>
  <c r="B289"/>
  <c r="B290"/>
  <c r="B291"/>
  <c r="B292"/>
  <c r="B293"/>
  <c r="B294"/>
  <c r="B295"/>
  <c r="B296"/>
  <c r="B297"/>
  <c r="B298"/>
  <c r="B299"/>
  <c r="B300"/>
  <c r="B301"/>
  <c r="B302"/>
  <c r="B303"/>
  <c r="B304"/>
  <c r="B305"/>
  <c r="B306"/>
  <c r="B307"/>
  <c r="B308"/>
  <c r="B309"/>
  <c r="B310"/>
  <c r="B311"/>
  <c r="B312"/>
  <c r="B313"/>
  <c r="B314"/>
  <c r="B315"/>
  <c r="B316"/>
  <c r="B317"/>
  <c r="B318"/>
  <c r="B319"/>
  <c r="B320"/>
  <c r="B321"/>
  <c r="B322"/>
  <c r="B323"/>
  <c r="B324"/>
  <c r="B325"/>
  <c r="B326"/>
  <c r="B327"/>
  <c r="B328"/>
  <c r="B329"/>
  <c r="B330"/>
  <c r="B331"/>
  <c r="B332"/>
  <c r="B333"/>
  <c r="B334"/>
  <c r="B335"/>
  <c r="B336"/>
  <c r="B337"/>
  <c r="B338"/>
  <c r="B339"/>
  <c r="B340"/>
  <c r="B341"/>
  <c r="B342"/>
  <c r="B343"/>
  <c r="B344"/>
  <c r="B345"/>
  <c r="B346"/>
  <c r="B347"/>
  <c r="B348"/>
  <c r="B349"/>
  <c r="B350"/>
  <c r="B351"/>
  <c r="B352"/>
  <c r="B353"/>
  <c r="B354"/>
  <c r="B355"/>
  <c r="B356"/>
  <c r="B357"/>
  <c r="B358"/>
  <c r="B359"/>
  <c r="B360"/>
  <c r="B361"/>
  <c r="B362"/>
  <c r="B363"/>
  <c r="B364"/>
  <c r="B365"/>
  <c r="B366"/>
  <c r="B367"/>
  <c r="B368"/>
  <c r="B369"/>
  <c r="B370"/>
  <c r="B371"/>
  <c r="B372"/>
  <c r="B373"/>
  <c r="B374"/>
  <c r="B375"/>
  <c r="B376"/>
  <c r="B377"/>
  <c r="B378"/>
  <c r="B379"/>
  <c r="B380"/>
  <c r="B381"/>
  <c r="B382"/>
  <c r="B383"/>
  <c r="B384"/>
  <c r="B385"/>
  <c r="B386"/>
  <c r="B387"/>
  <c r="B388"/>
  <c r="B389"/>
  <c r="B390"/>
  <c r="B391"/>
  <c r="B392"/>
  <c r="B393"/>
  <c r="B394"/>
  <c r="B395"/>
  <c r="B396"/>
  <c r="B397"/>
  <c r="B398"/>
  <c r="B399"/>
  <c r="B400"/>
  <c r="B401"/>
  <c r="B402"/>
  <c r="B403"/>
  <c r="B404"/>
  <c r="B405"/>
  <c r="B406"/>
  <c r="B407"/>
  <c r="B408"/>
  <c r="B409"/>
  <c r="B410"/>
  <c r="B411"/>
  <c r="B412"/>
  <c r="B413"/>
  <c r="B414"/>
  <c r="B415"/>
  <c r="B416"/>
  <c r="B417"/>
  <c r="B418"/>
  <c r="B419"/>
  <c r="B420"/>
  <c r="B421"/>
  <c r="B422"/>
  <c r="B423"/>
  <c r="B424"/>
  <c r="B425"/>
  <c r="B426"/>
  <c r="B427"/>
  <c r="B428"/>
  <c r="B429"/>
  <c r="B430"/>
  <c r="B431"/>
  <c r="B432"/>
  <c r="B433"/>
  <c r="B434"/>
  <c r="B435"/>
  <c r="B436"/>
  <c r="B437"/>
  <c r="B438"/>
  <c r="B439"/>
  <c r="B440"/>
  <c r="B441"/>
  <c r="B442"/>
  <c r="B443"/>
  <c r="B444"/>
  <c r="B445"/>
  <c r="B446"/>
  <c r="B447"/>
  <c r="B448"/>
  <c r="B449"/>
  <c r="B450"/>
  <c r="B451"/>
  <c r="B452"/>
  <c r="B453"/>
  <c r="B454"/>
  <c r="B455"/>
  <c r="B456"/>
  <c r="B457"/>
  <c r="B458"/>
  <c r="B459"/>
  <c r="B460"/>
  <c r="B461"/>
  <c r="B462"/>
  <c r="B463"/>
  <c r="B464"/>
  <c r="B465"/>
  <c r="B466"/>
  <c r="B467"/>
  <c r="B468"/>
  <c r="B469"/>
  <c r="B470"/>
  <c r="B471"/>
  <c r="B472"/>
  <c r="B473"/>
  <c r="B474"/>
  <c r="B475"/>
  <c r="B476"/>
  <c r="B477"/>
  <c r="B478"/>
  <c r="B479"/>
  <c r="B480"/>
  <c r="B481"/>
  <c r="B482"/>
  <c r="B483"/>
  <c r="B484"/>
  <c r="B485"/>
  <c r="B486"/>
  <c r="B487"/>
  <c r="B488"/>
  <c r="B489"/>
  <c r="B490"/>
  <c r="B491"/>
  <c r="B492"/>
  <c r="B493"/>
  <c r="B494"/>
  <c r="B495"/>
  <c r="B496"/>
  <c r="B497"/>
  <c r="B498"/>
  <c r="B499"/>
  <c r="B500"/>
  <c r="B501"/>
  <c r="B502"/>
  <c r="B503"/>
  <c r="B504"/>
  <c r="B505"/>
  <c r="B506"/>
  <c r="B507"/>
  <c r="B508"/>
  <c r="B509"/>
  <c r="B510"/>
  <c r="B511"/>
  <c r="B512"/>
  <c r="B513"/>
  <c r="B514"/>
  <c r="B515"/>
  <c r="B516"/>
  <c r="B517"/>
  <c r="B518"/>
  <c r="B519"/>
  <c r="B520"/>
  <c r="B521"/>
  <c r="B522"/>
  <c r="B523"/>
  <c r="B524"/>
  <c r="B525"/>
  <c r="B526"/>
  <c r="B527"/>
  <c r="B528"/>
  <c r="B529"/>
  <c r="B530"/>
  <c r="B531"/>
  <c r="B532"/>
  <c r="B533"/>
  <c r="B534"/>
  <c r="B535"/>
  <c r="B536"/>
  <c r="B537"/>
  <c r="B538"/>
  <c r="B539"/>
  <c r="B540"/>
  <c r="B541"/>
  <c r="B542"/>
  <c r="B543"/>
  <c r="B544"/>
  <c r="B545"/>
  <c r="B546"/>
  <c r="B547"/>
  <c r="B548"/>
  <c r="B549"/>
  <c r="B550"/>
  <c r="B551"/>
  <c r="B552"/>
  <c r="B553"/>
  <c r="B554"/>
  <c r="B555"/>
  <c r="B556"/>
  <c r="B557"/>
  <c r="B558"/>
  <c r="B559"/>
  <c r="B560"/>
  <c r="B561"/>
  <c r="B562"/>
  <c r="B563"/>
  <c r="B564"/>
  <c r="B565"/>
  <c r="B566"/>
  <c r="B567"/>
  <c r="B568"/>
  <c r="B569"/>
  <c r="B570"/>
  <c r="B571"/>
  <c r="B572"/>
  <c r="B573"/>
  <c r="B574"/>
  <c r="B575"/>
  <c r="B576"/>
  <c r="B577"/>
  <c r="B578"/>
  <c r="B579"/>
  <c r="B580"/>
  <c r="B581"/>
  <c r="B582"/>
  <c r="B583"/>
  <c r="B584"/>
  <c r="B585"/>
  <c r="B586"/>
  <c r="B587"/>
  <c r="B588"/>
  <c r="B589"/>
  <c r="B590"/>
  <c r="B591"/>
  <c r="B592"/>
  <c r="B593"/>
  <c r="B594"/>
  <c r="B595"/>
  <c r="B596"/>
  <c r="B597"/>
  <c r="B598"/>
  <c r="B599"/>
  <c r="B600"/>
  <c r="B601"/>
  <c r="B602"/>
  <c r="B603"/>
  <c r="B604"/>
  <c r="B605"/>
  <c r="B606"/>
  <c r="B607"/>
  <c r="B608"/>
  <c r="B609"/>
  <c r="B610"/>
  <c r="B611"/>
  <c r="B612"/>
  <c r="B613"/>
  <c r="B614"/>
  <c r="B615"/>
  <c r="B616"/>
  <c r="B617"/>
  <c r="B618"/>
  <c r="B619"/>
  <c r="B620"/>
  <c r="B621"/>
  <c r="B622"/>
  <c r="B623"/>
  <c r="B624"/>
  <c r="B625"/>
  <c r="B626"/>
  <c r="B627"/>
  <c r="B628"/>
  <c r="B629"/>
  <c r="B630"/>
  <c r="B631"/>
  <c r="B632"/>
  <c r="B633"/>
  <c r="B634"/>
  <c r="B635"/>
  <c r="B636"/>
  <c r="B637"/>
  <c r="B638"/>
  <c r="B639"/>
  <c r="B640"/>
  <c r="B641"/>
  <c r="B642"/>
  <c r="B643"/>
  <c r="B644"/>
  <c r="B645"/>
  <c r="B646"/>
  <c r="B647"/>
  <c r="B648"/>
  <c r="B649"/>
  <c r="B650"/>
  <c r="B651"/>
  <c r="B652"/>
  <c r="B653"/>
  <c r="B654"/>
  <c r="B655"/>
  <c r="B656"/>
  <c r="B657"/>
  <c r="B658"/>
  <c r="B659"/>
  <c r="B660"/>
  <c r="B661"/>
  <c r="B662"/>
  <c r="B663"/>
  <c r="B664"/>
  <c r="B665"/>
  <c r="B666"/>
  <c r="B667"/>
  <c r="B668"/>
  <c r="B669"/>
  <c r="B670"/>
  <c r="B671"/>
  <c r="B672"/>
  <c r="B673"/>
  <c r="B674"/>
  <c r="B675"/>
  <c r="B676"/>
  <c r="B677"/>
  <c r="B678"/>
  <c r="B679"/>
  <c r="B680"/>
  <c r="B681"/>
  <c r="B682"/>
  <c r="B683"/>
  <c r="B684"/>
  <c r="B685"/>
  <c r="B686"/>
  <c r="B687"/>
  <c r="B688"/>
  <c r="B689"/>
  <c r="B690"/>
  <c r="B691"/>
  <c r="B692"/>
  <c r="B693"/>
  <c r="B694"/>
  <c r="B695"/>
  <c r="B696"/>
  <c r="B697"/>
  <c r="B698"/>
  <c r="B699"/>
  <c r="B700"/>
  <c r="B701"/>
  <c r="B702"/>
  <c r="B703"/>
  <c r="B704"/>
  <c r="B705"/>
  <c r="B706"/>
  <c r="B707"/>
  <c r="B708"/>
  <c r="B709"/>
  <c r="B710"/>
  <c r="B711"/>
  <c r="B712"/>
  <c r="B713"/>
  <c r="B714"/>
  <c r="B715"/>
  <c r="B716"/>
  <c r="B717"/>
  <c r="B718"/>
  <c r="B719"/>
  <c r="B720"/>
  <c r="B721"/>
  <c r="B722"/>
  <c r="B723"/>
  <c r="B724"/>
  <c r="B725"/>
  <c r="B726"/>
  <c r="B727"/>
  <c r="B728"/>
  <c r="B729"/>
  <c r="B730"/>
  <c r="B731"/>
  <c r="B732"/>
  <c r="B733"/>
  <c r="B734"/>
  <c r="B735"/>
  <c r="B736"/>
  <c r="B737"/>
  <c r="B738"/>
  <c r="B739"/>
  <c r="B740"/>
  <c r="B741"/>
  <c r="B742"/>
  <c r="B743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"/>
  <c r="F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F256"/>
  <c r="F257"/>
  <c r="F258"/>
  <c r="F259"/>
  <c r="F260"/>
  <c r="F261"/>
  <c r="F262"/>
  <c r="F263"/>
  <c r="F264"/>
  <c r="F265"/>
  <c r="F266"/>
  <c r="F267"/>
  <c r="F268"/>
  <c r="F269"/>
  <c r="F270"/>
  <c r="F271"/>
  <c r="F272"/>
  <c r="F273"/>
  <c r="F274"/>
  <c r="F275"/>
  <c r="F276"/>
  <c r="F277"/>
  <c r="F278"/>
  <c r="F279"/>
  <c r="F280"/>
  <c r="F281"/>
  <c r="F282"/>
  <c r="F283"/>
  <c r="F284"/>
  <c r="F285"/>
  <c r="F286"/>
  <c r="F287"/>
  <c r="F288"/>
  <c r="F289"/>
  <c r="F290"/>
  <c r="F291"/>
  <c r="F292"/>
  <c r="F293"/>
  <c r="F294"/>
  <c r="F295"/>
  <c r="F296"/>
  <c r="F297"/>
  <c r="F298"/>
  <c r="F299"/>
  <c r="F300"/>
  <c r="F301"/>
  <c r="F302"/>
  <c r="F303"/>
  <c r="F304"/>
  <c r="F305"/>
  <c r="F306"/>
  <c r="F307"/>
  <c r="F308"/>
  <c r="F309"/>
  <c r="F310"/>
  <c r="F311"/>
  <c r="F312"/>
  <c r="F313"/>
  <c r="F314"/>
  <c r="F315"/>
  <c r="F316"/>
  <c r="F317"/>
  <c r="F318"/>
  <c r="F319"/>
  <c r="F320"/>
  <c r="F321"/>
  <c r="F322"/>
  <c r="F323"/>
  <c r="F324"/>
  <c r="F325"/>
  <c r="F326"/>
  <c r="F327"/>
  <c r="F328"/>
  <c r="F329"/>
  <c r="F330"/>
  <c r="F331"/>
  <c r="F332"/>
  <c r="F333"/>
  <c r="F334"/>
  <c r="F335"/>
  <c r="F336"/>
  <c r="F337"/>
  <c r="F338"/>
  <c r="F339"/>
  <c r="F340"/>
  <c r="F341"/>
  <c r="F342"/>
  <c r="F343"/>
  <c r="F344"/>
  <c r="F345"/>
  <c r="F346"/>
  <c r="F347"/>
  <c r="F348"/>
  <c r="F349"/>
  <c r="F350"/>
  <c r="F351"/>
  <c r="F352"/>
  <c r="F353"/>
  <c r="F354"/>
  <c r="F355"/>
  <c r="F356"/>
  <c r="F357"/>
  <c r="F358"/>
  <c r="F359"/>
  <c r="F360"/>
  <c r="F361"/>
  <c r="F362"/>
  <c r="F363"/>
  <c r="F364"/>
  <c r="F365"/>
  <c r="F366"/>
  <c r="F367"/>
  <c r="F368"/>
  <c r="F369"/>
  <c r="F370"/>
  <c r="F371"/>
  <c r="F372"/>
  <c r="F373"/>
  <c r="F374"/>
  <c r="F375"/>
  <c r="F376"/>
  <c r="F377"/>
  <c r="F378"/>
  <c r="F379"/>
  <c r="F380"/>
  <c r="F381"/>
  <c r="F382"/>
  <c r="F383"/>
  <c r="F384"/>
  <c r="F385"/>
  <c r="F386"/>
  <c r="F387"/>
  <c r="F388"/>
  <c r="F389"/>
  <c r="F390"/>
  <c r="F391"/>
  <c r="F392"/>
  <c r="F393"/>
  <c r="F394"/>
  <c r="F395"/>
  <c r="F396"/>
  <c r="F397"/>
  <c r="F398"/>
  <c r="F399"/>
  <c r="F400"/>
  <c r="F401"/>
  <c r="F402"/>
  <c r="F403"/>
  <c r="F404"/>
  <c r="F405"/>
  <c r="F406"/>
  <c r="F407"/>
  <c r="F408"/>
  <c r="F409"/>
  <c r="F410"/>
  <c r="F411"/>
  <c r="F412"/>
  <c r="F413"/>
  <c r="F414"/>
  <c r="F415"/>
  <c r="F416"/>
  <c r="F417"/>
  <c r="F418"/>
  <c r="F419"/>
  <c r="F420"/>
  <c r="F421"/>
  <c r="F422"/>
  <c r="F423"/>
  <c r="F424"/>
  <c r="F425"/>
  <c r="F426"/>
  <c r="F427"/>
  <c r="F428"/>
  <c r="F429"/>
  <c r="F430"/>
  <c r="F431"/>
  <c r="F432"/>
  <c r="F433"/>
  <c r="F434"/>
  <c r="F435"/>
  <c r="F436"/>
  <c r="F437"/>
  <c r="F438"/>
  <c r="F439"/>
  <c r="F440"/>
  <c r="F441"/>
  <c r="F442"/>
  <c r="F443"/>
  <c r="F444"/>
  <c r="F445"/>
  <c r="F446"/>
  <c r="F447"/>
  <c r="F448"/>
  <c r="F449"/>
  <c r="F450"/>
  <c r="F451"/>
  <c r="F452"/>
  <c r="F453"/>
  <c r="F454"/>
  <c r="F455"/>
  <c r="F456"/>
  <c r="F457"/>
  <c r="F458"/>
  <c r="F459"/>
  <c r="F460"/>
  <c r="F461"/>
  <c r="F462"/>
  <c r="F463"/>
  <c r="F464"/>
  <c r="F465"/>
  <c r="F466"/>
  <c r="F467"/>
  <c r="F468"/>
  <c r="F469"/>
  <c r="F470"/>
  <c r="F471"/>
  <c r="F472"/>
  <c r="F473"/>
  <c r="F474"/>
  <c r="F475"/>
  <c r="F476"/>
  <c r="F477"/>
  <c r="F478"/>
  <c r="F479"/>
  <c r="F480"/>
  <c r="F481"/>
  <c r="F482"/>
  <c r="F483"/>
  <c r="F484"/>
  <c r="F485"/>
  <c r="F486"/>
  <c r="F487"/>
  <c r="F488"/>
  <c r="F489"/>
  <c r="F490"/>
  <c r="F491"/>
  <c r="F492"/>
  <c r="F493"/>
  <c r="F494"/>
  <c r="F495"/>
  <c r="F496"/>
  <c r="F497"/>
  <c r="F498"/>
  <c r="F499"/>
  <c r="F500"/>
  <c r="F501"/>
  <c r="F502"/>
  <c r="F503"/>
  <c r="F504"/>
  <c r="F505"/>
  <c r="F506"/>
  <c r="F507"/>
  <c r="F508"/>
  <c r="F509"/>
  <c r="F510"/>
  <c r="F511"/>
  <c r="F512"/>
  <c r="F513"/>
  <c r="F514"/>
  <c r="F515"/>
  <c r="F516"/>
  <c r="F517"/>
  <c r="F518"/>
  <c r="F519"/>
  <c r="F520"/>
  <c r="F521"/>
  <c r="F522"/>
  <c r="F523"/>
  <c r="F524"/>
  <c r="F525"/>
  <c r="F526"/>
  <c r="F527"/>
  <c r="F528"/>
  <c r="F529"/>
  <c r="F530"/>
  <c r="F531"/>
  <c r="F532"/>
  <c r="F533"/>
  <c r="F534"/>
  <c r="F535"/>
  <c r="F536"/>
  <c r="F537"/>
  <c r="F538"/>
  <c r="F539"/>
  <c r="F540"/>
  <c r="F541"/>
  <c r="F542"/>
  <c r="F543"/>
  <c r="F544"/>
  <c r="F545"/>
  <c r="F546"/>
  <c r="F547"/>
  <c r="F548"/>
  <c r="F549"/>
  <c r="F550"/>
  <c r="F551"/>
  <c r="F552"/>
  <c r="F553"/>
  <c r="F554"/>
  <c r="F555"/>
  <c r="F556"/>
  <c r="F557"/>
  <c r="F558"/>
  <c r="F559"/>
  <c r="F560"/>
  <c r="F561"/>
  <c r="F562"/>
  <c r="F563"/>
  <c r="F564"/>
  <c r="F565"/>
  <c r="F566"/>
  <c r="F567"/>
  <c r="F568"/>
  <c r="F569"/>
  <c r="F570"/>
  <c r="F571"/>
  <c r="F572"/>
  <c r="F573"/>
  <c r="F574"/>
  <c r="F575"/>
  <c r="F576"/>
  <c r="F577"/>
  <c r="F578"/>
  <c r="F579"/>
  <c r="F580"/>
  <c r="F581"/>
  <c r="F582"/>
  <c r="F583"/>
  <c r="F584"/>
  <c r="F585"/>
  <c r="F586"/>
  <c r="F587"/>
  <c r="F588"/>
  <c r="F589"/>
  <c r="F590"/>
  <c r="F591"/>
  <c r="F592"/>
  <c r="F593"/>
  <c r="F594"/>
  <c r="F595"/>
  <c r="F596"/>
  <c r="F597"/>
  <c r="F598"/>
  <c r="F599"/>
  <c r="F600"/>
  <c r="F601"/>
  <c r="F602"/>
  <c r="F603"/>
  <c r="F604"/>
  <c r="F605"/>
  <c r="F606"/>
  <c r="F607"/>
  <c r="F608"/>
  <c r="F609"/>
  <c r="F610"/>
  <c r="F611"/>
  <c r="F612"/>
  <c r="F613"/>
  <c r="F614"/>
  <c r="F615"/>
  <c r="F616"/>
  <c r="F617"/>
  <c r="F618"/>
  <c r="F619"/>
  <c r="F620"/>
  <c r="F621"/>
  <c r="F622"/>
  <c r="F623"/>
  <c r="F624"/>
  <c r="F625"/>
  <c r="F626"/>
  <c r="F627"/>
  <c r="F628"/>
  <c r="F629"/>
  <c r="F630"/>
  <c r="F631"/>
  <c r="F632"/>
  <c r="F633"/>
  <c r="F634"/>
  <c r="F635"/>
  <c r="F636"/>
  <c r="F637"/>
  <c r="F638"/>
  <c r="F639"/>
  <c r="F640"/>
  <c r="F641"/>
  <c r="F642"/>
  <c r="F643"/>
  <c r="F644"/>
  <c r="F645"/>
  <c r="F646"/>
  <c r="F647"/>
  <c r="F648"/>
  <c r="F649"/>
  <c r="F650"/>
  <c r="F651"/>
  <c r="F652"/>
  <c r="F653"/>
  <c r="F654"/>
  <c r="F655"/>
  <c r="F656"/>
  <c r="F657"/>
  <c r="F658"/>
  <c r="F659"/>
  <c r="F660"/>
  <c r="F661"/>
  <c r="F662"/>
  <c r="F663"/>
  <c r="F664"/>
  <c r="F665"/>
  <c r="F666"/>
  <c r="F667"/>
  <c r="F668"/>
  <c r="F669"/>
  <c r="F670"/>
  <c r="F671"/>
  <c r="F672"/>
  <c r="F673"/>
  <c r="F674"/>
  <c r="F675"/>
  <c r="F676"/>
  <c r="F677"/>
  <c r="F678"/>
  <c r="F679"/>
  <c r="F680"/>
  <c r="F681"/>
  <c r="F682"/>
  <c r="F683"/>
  <c r="F684"/>
  <c r="F685"/>
  <c r="F686"/>
  <c r="F687"/>
  <c r="F688"/>
  <c r="F689"/>
  <c r="F690"/>
  <c r="F691"/>
  <c r="F692"/>
  <c r="F693"/>
  <c r="F694"/>
  <c r="F695"/>
  <c r="F696"/>
  <c r="F697"/>
  <c r="F698"/>
  <c r="F699"/>
  <c r="F700"/>
  <c r="F701"/>
  <c r="F702"/>
  <c r="F703"/>
  <c r="F704"/>
  <c r="F705"/>
  <c r="F706"/>
  <c r="F707"/>
  <c r="F708"/>
  <c r="F709"/>
  <c r="F710"/>
  <c r="F711"/>
  <c r="F712"/>
  <c r="F713"/>
  <c r="F714"/>
  <c r="F715"/>
  <c r="F716"/>
  <c r="F717"/>
  <c r="F718"/>
  <c r="F719"/>
  <c r="F720"/>
  <c r="F721"/>
  <c r="F722"/>
  <c r="F723"/>
  <c r="F724"/>
  <c r="F725"/>
  <c r="F726"/>
  <c r="F727"/>
  <c r="F728"/>
  <c r="F729"/>
  <c r="F730"/>
  <c r="F731"/>
  <c r="F732"/>
  <c r="F733"/>
  <c r="F734"/>
  <c r="F735"/>
  <c r="F736"/>
  <c r="F737"/>
  <c r="F738"/>
  <c r="F739"/>
  <c r="F740"/>
  <c r="F741"/>
  <c r="F742"/>
  <c r="F743"/>
  <c r="F2"/>
</calcChain>
</file>

<file path=xl/sharedStrings.xml><?xml version="1.0" encoding="utf-8"?>
<sst xmlns="http://schemas.openxmlformats.org/spreadsheetml/2006/main" count="4592" uniqueCount="605">
  <si>
    <t>Job Title</t>
  </si>
  <si>
    <t>Rating</t>
  </si>
  <si>
    <t>Location</t>
  </si>
  <si>
    <t>Size</t>
  </si>
  <si>
    <t>Industry</t>
  </si>
  <si>
    <t>Avg Salary(K)</t>
  </si>
  <si>
    <t>Age</t>
  </si>
  <si>
    <t>Data Scientist</t>
  </si>
  <si>
    <t>Albuquerque, NM</t>
  </si>
  <si>
    <t xml:space="preserve">501 - 1000 </t>
  </si>
  <si>
    <t>Aerospace &amp; Defense</t>
  </si>
  <si>
    <t>Healthcare Data Scientist</t>
  </si>
  <si>
    <t>Linthicum, MD</t>
  </si>
  <si>
    <t>Baltimore, MD</t>
  </si>
  <si>
    <t xml:space="preserve">10000+ </t>
  </si>
  <si>
    <t>Health Care Services &amp; Hospitals</t>
  </si>
  <si>
    <t>Clearwater, FL</t>
  </si>
  <si>
    <t>Security Services</t>
  </si>
  <si>
    <t>Richland, WA</t>
  </si>
  <si>
    <t xml:space="preserve">1001 - 5000 </t>
  </si>
  <si>
    <t>Energy</t>
  </si>
  <si>
    <t>New York, NY</t>
  </si>
  <si>
    <t xml:space="preserve">51 - 200 </t>
  </si>
  <si>
    <t>Advertising &amp; Marketing</t>
  </si>
  <si>
    <t>Dallas, TX</t>
  </si>
  <si>
    <t xml:space="preserve">201 - 500 </t>
  </si>
  <si>
    <t>Real Estate</t>
  </si>
  <si>
    <t>Banks &amp; Credit Unions</t>
  </si>
  <si>
    <t>San Jose, CA</t>
  </si>
  <si>
    <t>Seattle, WA</t>
  </si>
  <si>
    <t>Consulting</t>
  </si>
  <si>
    <t>Research Scientist</t>
  </si>
  <si>
    <t>Rochester, NY</t>
  </si>
  <si>
    <t>Internet</t>
  </si>
  <si>
    <t>San Francisco, CA</t>
  </si>
  <si>
    <t>Other Retail Stores</t>
  </si>
  <si>
    <t>Chantilly, VA</t>
  </si>
  <si>
    <t>Herndon, VA</t>
  </si>
  <si>
    <t xml:space="preserve">5001 - 10000 </t>
  </si>
  <si>
    <t>Research &amp; Development</t>
  </si>
  <si>
    <t>Staff Data Scientist - Technology</t>
  </si>
  <si>
    <t>Plano, TX</t>
  </si>
  <si>
    <t>Department, Clothing, &amp; Shoe Stores</t>
  </si>
  <si>
    <t>Data Analyst</t>
  </si>
  <si>
    <t>Cambridge, MA</t>
  </si>
  <si>
    <t>Biotech &amp; Pharmaceuticals</t>
  </si>
  <si>
    <t>Data Engineer I</t>
  </si>
  <si>
    <t>Newark, NJ</t>
  </si>
  <si>
    <t>Motion Picture Production &amp; Distribution</t>
  </si>
  <si>
    <t>Scientist I/II, Biology</t>
  </si>
  <si>
    <t>Customer Data Scientist</t>
  </si>
  <si>
    <t>Mountain View, CA</t>
  </si>
  <si>
    <t>Enterprise Software &amp; Network Solutions</t>
  </si>
  <si>
    <t>Data Scientist - Health Data Analytics</t>
  </si>
  <si>
    <t>Denver, CO</t>
  </si>
  <si>
    <t>Insurance Carriers</t>
  </si>
  <si>
    <t>Senior Data Scientist / Machine Learning</t>
  </si>
  <si>
    <t>Insurance Agencies &amp; Brokerages</t>
  </si>
  <si>
    <t>Data Scientist - Quantitative</t>
  </si>
  <si>
    <t>Chicago, IL</t>
  </si>
  <si>
    <t>Logistics &amp; Supply Chain</t>
  </si>
  <si>
    <t>Louisville, KY</t>
  </si>
  <si>
    <t>Digital Health Data Scientist</t>
  </si>
  <si>
    <t>Hillsboro, OR</t>
  </si>
  <si>
    <t>Associate Data Analyst</t>
  </si>
  <si>
    <t>Worcester, MA</t>
  </si>
  <si>
    <t>Clinical Data Scientist</t>
  </si>
  <si>
    <t>Groton, CT</t>
  </si>
  <si>
    <t>Detroit, MI</t>
  </si>
  <si>
    <t>Data Scientist / Machine Learning Expert</t>
  </si>
  <si>
    <t>Sunnyvale, CA</t>
  </si>
  <si>
    <t>Telecommunications Services</t>
  </si>
  <si>
    <t>Ipswich, MA</t>
  </si>
  <si>
    <t>Web Data Analyst</t>
  </si>
  <si>
    <t>IT Services</t>
  </si>
  <si>
    <t>Redlands, CA</t>
  </si>
  <si>
    <t>Computer Hardware &amp; Software</t>
  </si>
  <si>
    <t>Woburn, MA</t>
  </si>
  <si>
    <t>Senior Data Scientist</t>
  </si>
  <si>
    <t>Fremont, CA</t>
  </si>
  <si>
    <t>Data Engineer</t>
  </si>
  <si>
    <t>Long Beach, NY</t>
  </si>
  <si>
    <t>Marlborough, MA</t>
  </si>
  <si>
    <t>Data Scientist - Algorithms &amp; Inference</t>
  </si>
  <si>
    <t>Scientist</t>
  </si>
  <si>
    <t>Allendale, NJ</t>
  </si>
  <si>
    <t>Consumer Products Manufacturing</t>
  </si>
  <si>
    <t>Washington, DC</t>
  </si>
  <si>
    <t>Alexandria, VA</t>
  </si>
  <si>
    <t>unknown</t>
  </si>
  <si>
    <t>Lead Data Scientist</t>
  </si>
  <si>
    <t>Bellevue, WA</t>
  </si>
  <si>
    <t>Foster City, CA</t>
  </si>
  <si>
    <t>Longmont, CO</t>
  </si>
  <si>
    <t>Omaha, NE</t>
  </si>
  <si>
    <t>Spectral Scientist/Engineer</t>
  </si>
  <si>
    <t>Beavercreek, OH</t>
  </si>
  <si>
    <t>College Hire - Data Scientist - Open to December 2019 Graduates</t>
  </si>
  <si>
    <t>Peoria, IL</t>
  </si>
  <si>
    <t>Industrial Manufacturing</t>
  </si>
  <si>
    <t>Fort Lauderdale, FL</t>
  </si>
  <si>
    <t>Data Scientist, Office of Data Science</t>
  </si>
  <si>
    <t>Boston, MA</t>
  </si>
  <si>
    <t>Data Science Analyst</t>
  </si>
  <si>
    <t>Huntsville, AL</t>
  </si>
  <si>
    <t>Armonk, NY</t>
  </si>
  <si>
    <t>San Diego, CA</t>
  </si>
  <si>
    <t>Santa Clara, CA</t>
  </si>
  <si>
    <t>Saint Louis, MO</t>
  </si>
  <si>
    <t>Cincinnati, OH</t>
  </si>
  <si>
    <t>Metals Brokers</t>
  </si>
  <si>
    <t>Senior Risk Data Scientist</t>
  </si>
  <si>
    <t>Palo Alto, CA</t>
  </si>
  <si>
    <t>Financial Transaction Processing</t>
  </si>
  <si>
    <t>Data Scientist in Artificial Intelligence Early Career</t>
  </si>
  <si>
    <t>Coraopolis, PA</t>
  </si>
  <si>
    <t>Sporting Goods Stores</t>
  </si>
  <si>
    <t>Framingham, MA</t>
  </si>
  <si>
    <t>Atlanta, GA</t>
  </si>
  <si>
    <t>Data Scientist - Research</t>
  </si>
  <si>
    <t>Philadelphia, PA</t>
  </si>
  <si>
    <t>Staffing &amp; Outsourcing</t>
  </si>
  <si>
    <t>R&amp;D Data Analysis Scientist</t>
  </si>
  <si>
    <t>Vancouver, WA</t>
  </si>
  <si>
    <t>Analytics Consultant</t>
  </si>
  <si>
    <t>Indianapolis, IN</t>
  </si>
  <si>
    <t>Director, Data Science</t>
  </si>
  <si>
    <t>Lake Forest, IL</t>
  </si>
  <si>
    <t>Wholesale</t>
  </si>
  <si>
    <t>Maryland Heights, MO</t>
  </si>
  <si>
    <t>Data Scientist SR</t>
  </si>
  <si>
    <t>Charlottesville, VA</t>
  </si>
  <si>
    <t>Reston, VA</t>
  </si>
  <si>
    <t>Pittsburgh, PA</t>
  </si>
  <si>
    <t>Mining</t>
  </si>
  <si>
    <t>R&amp;D Sr Data Scientist</t>
  </si>
  <si>
    <t>Customer Data Scientist/Sales Engineer (Bay</t>
  </si>
  <si>
    <t>Jr. Business Data Analyst</t>
  </si>
  <si>
    <t>Harrisburg, PA</t>
  </si>
  <si>
    <t>Laurel, MD</t>
  </si>
  <si>
    <t>Arlington, VA</t>
  </si>
  <si>
    <t>Tacoma, WA</t>
  </si>
  <si>
    <t>Miami, FL</t>
  </si>
  <si>
    <t>Data Management Specialist</t>
  </si>
  <si>
    <t>E-Commerce Data Analyst</t>
  </si>
  <si>
    <t>New Orleans, LA</t>
  </si>
  <si>
    <t>Sr. Scientist II</t>
  </si>
  <si>
    <t>Insurance Data Scientist</t>
  </si>
  <si>
    <t>Financial Analytics &amp; Research</t>
  </si>
  <si>
    <t>Data Modeler</t>
  </si>
  <si>
    <t>Landover, MD</t>
  </si>
  <si>
    <t>Data Analyst / Scientist</t>
  </si>
  <si>
    <t>Patuxent River, MD</t>
  </si>
  <si>
    <t>Suitland, MD</t>
  </si>
  <si>
    <t>McLean, VA</t>
  </si>
  <si>
    <t>Bedford, MA</t>
  </si>
  <si>
    <t>Federal Agencies</t>
  </si>
  <si>
    <t>Fort Belvoir, VA</t>
  </si>
  <si>
    <t>Milwaukee, WI</t>
  </si>
  <si>
    <t>Silver Spring, MD</t>
  </si>
  <si>
    <t>Syracuse, NY</t>
  </si>
  <si>
    <t>Data Scientist, Rice University</t>
  </si>
  <si>
    <t>Houston, TX</t>
  </si>
  <si>
    <t>Education Training Services</t>
  </si>
  <si>
    <t>Charlotte, NC</t>
  </si>
  <si>
    <t>Southfield, MI</t>
  </si>
  <si>
    <t>Transportation Equipment Manufacturing</t>
  </si>
  <si>
    <t>Financial Data Analyst</t>
  </si>
  <si>
    <t>Matawan, NJ</t>
  </si>
  <si>
    <t>Senior Data Analyst</t>
  </si>
  <si>
    <t>Phoenix, AZ</t>
  </si>
  <si>
    <t>Lyndhurst, NJ</t>
  </si>
  <si>
    <t>San Rafael, CA</t>
  </si>
  <si>
    <t>Ag Data Scientist</t>
  </si>
  <si>
    <t>Atlanta, IN</t>
  </si>
  <si>
    <t>Farm Support Services</t>
  </si>
  <si>
    <t>Rockville, MD</t>
  </si>
  <si>
    <t>Minneapolis, MN</t>
  </si>
  <si>
    <t>Data Scientist II</t>
  </si>
  <si>
    <t>Los Angeles, CA</t>
  </si>
  <si>
    <t>Senior Data Engineer</t>
  </si>
  <si>
    <t>TV Broadcast &amp; Cable Networks</t>
  </si>
  <si>
    <t>Project Scientist</t>
  </si>
  <si>
    <t>Alabaster, AL</t>
  </si>
  <si>
    <t>Architectural &amp; Engineering Services</t>
  </si>
  <si>
    <t>Santa Fe Springs, Los Angeles, CA</t>
  </si>
  <si>
    <t>Data Analytics Manager</t>
  </si>
  <si>
    <t>Kansas City, MO</t>
  </si>
  <si>
    <t>Senior Machine Learning (ML) Engineer / Data Scientist - Cyber Security Analytics</t>
  </si>
  <si>
    <t>Ashburn, VA</t>
  </si>
  <si>
    <t>Fort Worth, TX</t>
  </si>
  <si>
    <t>Brokerage Services</t>
  </si>
  <si>
    <t>Associate Scientist</t>
  </si>
  <si>
    <t>Valencia, CA</t>
  </si>
  <si>
    <t>Scientist 2, QC Viral Vector</t>
  </si>
  <si>
    <t>Novato, CA</t>
  </si>
  <si>
    <t>Machine Learning Engineer</t>
  </si>
  <si>
    <t>Aurora, CO</t>
  </si>
  <si>
    <t>Data Scientist/ML Engineer</t>
  </si>
  <si>
    <t>Tampa, FL</t>
  </si>
  <si>
    <t>Sr. Data Scientist</t>
  </si>
  <si>
    <t>Travel Agencies</t>
  </si>
  <si>
    <t>Data Engineer 4 - Contract</t>
  </si>
  <si>
    <t>Riverton, UT</t>
  </si>
  <si>
    <t>Salt Lake City, UT</t>
  </si>
  <si>
    <t>Religious Organizations</t>
  </si>
  <si>
    <t>Data Analyst - Asset Management</t>
  </si>
  <si>
    <t>Senior Research Scientist - Embedded System Development for DevOps</t>
  </si>
  <si>
    <t>Colleges &amp; Universities</t>
  </si>
  <si>
    <t>Data Scientist - Bioinformatics</t>
  </si>
  <si>
    <t>Customer Data Scientist/Sales Engineer</t>
  </si>
  <si>
    <t>MongoDB Data Engineer II</t>
  </si>
  <si>
    <t>Chattanooga, TN</t>
  </si>
  <si>
    <t>Senior Data Scientist Statistics</t>
  </si>
  <si>
    <t>Senior Spark Engineer (Data Science)</t>
  </si>
  <si>
    <t>BI &amp; Platform Analytics Manager</t>
  </si>
  <si>
    <t>Ewing, NJ</t>
  </si>
  <si>
    <t>Springfield, MA</t>
  </si>
  <si>
    <t>Sr. Data Scientist - Analytics, Personalized Healthcare (PHC)</t>
  </si>
  <si>
    <t>South San Francisco, CA</t>
  </si>
  <si>
    <t>Cupertino, CA</t>
  </si>
  <si>
    <t>Pricipal Scientist Molecular and cellular biologist</t>
  </si>
  <si>
    <t>Data Scientist (Actuary, FSA or ASA)</t>
  </si>
  <si>
    <t>Frederick, MD</t>
  </si>
  <si>
    <t>Staff Data Scientist</t>
  </si>
  <si>
    <t>Data Engineer 5 - Contract (Remote)</t>
  </si>
  <si>
    <t>Senior Scientist - Neuroscience</t>
  </si>
  <si>
    <t>Medical Lab Scientist</t>
  </si>
  <si>
    <t>West Reading, PA</t>
  </si>
  <si>
    <t>Risk and Analytics IT, Data Scientist</t>
  </si>
  <si>
    <t>Madison, WI</t>
  </si>
  <si>
    <t>Investment Banking &amp; Asset Management</t>
  </si>
  <si>
    <t>Scientist, Analytical Development</t>
  </si>
  <si>
    <t>Analytics Manager</t>
  </si>
  <si>
    <t>Dearborn, MI</t>
  </si>
  <si>
    <t>Winter Park, FL</t>
  </si>
  <si>
    <t>Digital Marketing &amp; ECommerce Data Analyst</t>
  </si>
  <si>
    <t>Sr. Scientist - Digital &amp; Image Analysis/Computational Pathology</t>
  </si>
  <si>
    <t>Hamilton, NJ</t>
  </si>
  <si>
    <t>Principal Scientist - Immunologist</t>
  </si>
  <si>
    <t>Woodbridge, NJ</t>
  </si>
  <si>
    <t>Principal Data Scientist with over 10 years experience</t>
  </si>
  <si>
    <t>MED TECH/LAB SCIENTIST - LABORATORY</t>
  </si>
  <si>
    <t>Lewes, DE</t>
  </si>
  <si>
    <t>Sr. Scientist, Quantitative Translational Sciences</t>
  </si>
  <si>
    <t>Sr. Data Scientist II</t>
  </si>
  <si>
    <t>Excel / VBA / SQL Data Analyst</t>
  </si>
  <si>
    <t>Springfield, MO</t>
  </si>
  <si>
    <t>Machine Learning Research Scientist</t>
  </si>
  <si>
    <t>VP, Data Science</t>
  </si>
  <si>
    <t>Lending</t>
  </si>
  <si>
    <t>Burbank, CA</t>
  </si>
  <si>
    <t>Radar Data Analyst</t>
  </si>
  <si>
    <t>PL Actuarial-Lead Data Scientist</t>
  </si>
  <si>
    <t>PV Scientist</t>
  </si>
  <si>
    <t>Newton, MA</t>
  </si>
  <si>
    <t>Senior Data &amp; Machine Learning Scientist</t>
  </si>
  <si>
    <t>Principal Data Scientist (Computational Chemistry)</t>
  </si>
  <si>
    <t>Lafayette, LA</t>
  </si>
  <si>
    <t>Principal Scientist, Chemistry &amp; Immunology</t>
  </si>
  <si>
    <t>Software Engineer - Data Visualization</t>
  </si>
  <si>
    <t>Annapolis Junction, MD</t>
  </si>
  <si>
    <t>Scientist/Senior Scientist, Autoimmune</t>
  </si>
  <si>
    <t>Staff Machine Learning Engineer</t>
  </si>
  <si>
    <t>Principal Scientist, Hematology</t>
  </si>
  <si>
    <t>Lead Data Engineer</t>
  </si>
  <si>
    <t>Marketing Data Analyst</t>
  </si>
  <si>
    <t>Highland, CA</t>
  </si>
  <si>
    <t>Gambling</t>
  </si>
  <si>
    <t>Medical Laboratory Scientist</t>
  </si>
  <si>
    <t>Burleson, TX</t>
  </si>
  <si>
    <t>R&amp;D Specialist/ Food Scientist</t>
  </si>
  <si>
    <t>Hoopeston, IL</t>
  </si>
  <si>
    <t>Food &amp; Beverage Manufacturing</t>
  </si>
  <si>
    <t>Senior Research Scientist-Machine Learning</t>
  </si>
  <si>
    <t>Analytics Manager - Data Mart</t>
  </si>
  <si>
    <t>Scotts Valley, CA</t>
  </si>
  <si>
    <t>Sr. Data Engineer - Contract-to-Hire (Java)</t>
  </si>
  <si>
    <t>Knoxville, TN</t>
  </si>
  <si>
    <t>Gas Stations</t>
  </si>
  <si>
    <t>MED TECH/LAB SCIENTIST- SOUTH COASTAL LAB</t>
  </si>
  <si>
    <t>Millville, DE</t>
  </si>
  <si>
    <t>Food Scientist - Developer</t>
  </si>
  <si>
    <t>Staff Scientist-Downstream Process Development</t>
  </si>
  <si>
    <t>Sr. Data Engineer</t>
  </si>
  <si>
    <t>Transportation Management</t>
  </si>
  <si>
    <t>Senior Research Statistician- Data Scientist</t>
  </si>
  <si>
    <t>Sheboygan, WI</t>
  </si>
  <si>
    <t>Business Data Analyst, SQL</t>
  </si>
  <si>
    <t>Medical Technologist / Clinical Laboratory Scientist</t>
  </si>
  <si>
    <t>San Mateo, CA</t>
  </si>
  <si>
    <t>Video Games</t>
  </si>
  <si>
    <t>Associate Data Scientist/Computer Scientist</t>
  </si>
  <si>
    <t>Business Intelligence Analyst / Developer</t>
  </si>
  <si>
    <t>Dayton, OH</t>
  </si>
  <si>
    <t>Trucking</t>
  </si>
  <si>
    <t>Parlier, CA</t>
  </si>
  <si>
    <t>Social Assistance</t>
  </si>
  <si>
    <t>Meridian, ID</t>
  </si>
  <si>
    <t>System and Data Analyst</t>
  </si>
  <si>
    <t>Cherry Hill, NJ</t>
  </si>
  <si>
    <t>Data &amp; Analytics Consultant (NYC)</t>
  </si>
  <si>
    <t>Nashville, TN</t>
  </si>
  <si>
    <t>Big Data Engineer - Chicago - Future Opportunity</t>
  </si>
  <si>
    <t>Portland, OR</t>
  </si>
  <si>
    <t>Survey Data Analyst</t>
  </si>
  <si>
    <t>Port Washington, NY</t>
  </si>
  <si>
    <t>Austin, TX</t>
  </si>
  <si>
    <t>Lead Health Data Analyst - Front End</t>
  </si>
  <si>
    <t>Providence, RI</t>
  </si>
  <si>
    <t>Junior Data Analyst</t>
  </si>
  <si>
    <t>SQL Data Engineer</t>
  </si>
  <si>
    <t>Raleigh, NC</t>
  </si>
  <si>
    <t>Sr. Data Scientist, Cyber-Security LT Contract</t>
  </si>
  <si>
    <t>Phila, PA</t>
  </si>
  <si>
    <t>Oakland, CA</t>
  </si>
  <si>
    <t>Insurance Financial Data Analyst</t>
  </si>
  <si>
    <t>Boise, ID</t>
  </si>
  <si>
    <t>Oak Ridge, TN</t>
  </si>
  <si>
    <t>Agoura Hills, CA</t>
  </si>
  <si>
    <t>Data Engineer I - Azure</t>
  </si>
  <si>
    <t>Pella, IA</t>
  </si>
  <si>
    <t>San Ramon, CA</t>
  </si>
  <si>
    <t>Information Security Data Analyst</t>
  </si>
  <si>
    <t>Red Bank, NJ</t>
  </si>
  <si>
    <t>Auctions &amp; Galleries</t>
  </si>
  <si>
    <t>Data Scientist, Senior</t>
  </si>
  <si>
    <t>K-12 Education</t>
  </si>
  <si>
    <t>CONSULTANTâ€“ DATA ANALYTICS GROUP</t>
  </si>
  <si>
    <t>Waltham, MA</t>
  </si>
  <si>
    <t>Data Engineer, Data Engineering and Artifical Intelligence</t>
  </si>
  <si>
    <t>Staff Scientist</t>
  </si>
  <si>
    <t>Columbia, SC</t>
  </si>
  <si>
    <t>Associate Scientist/Scientist, Process Analytical Technology - Small Molecule Analytical Chemistry</t>
  </si>
  <si>
    <t>Sr. Data Analyst</t>
  </si>
  <si>
    <t>Program/Data Analyst</t>
  </si>
  <si>
    <t>Senior Data Scientist: Causal &amp; Predictive analytics AI Innovation Lab</t>
  </si>
  <si>
    <t>Principal Data Engineer, Data Platform &amp; Insights</t>
  </si>
  <si>
    <t>RESEARCH SCIENTIST - BIOLOGICAL SAFETY</t>
  </si>
  <si>
    <t>San Antonio, TX</t>
  </si>
  <si>
    <t>Data Operations Lead</t>
  </si>
  <si>
    <t>Big Data Engineer</t>
  </si>
  <si>
    <t>Clinical Data Analyst</t>
  </si>
  <si>
    <t>Portsmouth, VA</t>
  </si>
  <si>
    <t>Computational Chemist/Data Scientist</t>
  </si>
  <si>
    <t>Product Engineer â€“ Data Science</t>
  </si>
  <si>
    <t>Market Data Analyst</t>
  </si>
  <si>
    <t>West Palm Beach, FL</t>
  </si>
  <si>
    <t>Telecommunications Manufacturing</t>
  </si>
  <si>
    <t>Staff Data Engineer</t>
  </si>
  <si>
    <t>Associate Data Engineer</t>
  </si>
  <si>
    <t>Staff BI and Data Engineer</t>
  </si>
  <si>
    <t>Exton, PA</t>
  </si>
  <si>
    <t>Director - Data, Privacy and AI Governance</t>
  </si>
  <si>
    <t>Scientist Manufacturing - Kentucky BioProcessing</t>
  </si>
  <si>
    <t>Owensboro, KY</t>
  </si>
  <si>
    <t>Winston-Salem, NC</t>
  </si>
  <si>
    <t>Data Analytics Project Manager</t>
  </si>
  <si>
    <t>Consultant - Analytics Consulting</t>
  </si>
  <si>
    <t>Hartford, CT</t>
  </si>
  <si>
    <t>Orange, CA</t>
  </si>
  <si>
    <t>Senior Scientist (Neuroscience)</t>
  </si>
  <si>
    <t>Machine Learning Engineer - Regulatory</t>
  </si>
  <si>
    <t>Lenexa, KS</t>
  </si>
  <si>
    <t>Stock Exchanges</t>
  </si>
  <si>
    <t>Scientist, Bacteriology</t>
  </si>
  <si>
    <t>Concord, CA</t>
  </si>
  <si>
    <t>Associate Director, Platform and DevOps- Data Engineering and Aritifical Intelligence</t>
  </si>
  <si>
    <t>Clinical Laboratory Scientist</t>
  </si>
  <si>
    <t>Vail, CO</t>
  </si>
  <si>
    <t>Senior Data Scientist - R&amp;D Oncology</t>
  </si>
  <si>
    <t>Natick, MA</t>
  </si>
  <si>
    <t>Director II, Data Science - GRM Actuarial</t>
  </si>
  <si>
    <t>Scientist, Molecular/Cellular Biologist</t>
  </si>
  <si>
    <t>Scientist - Analytical Services</t>
  </si>
  <si>
    <t>Associate Data Analyst- Graduate Development Program</t>
  </si>
  <si>
    <t>Richfield, OH</t>
  </si>
  <si>
    <t>Senior Insurance Data Scientist</t>
  </si>
  <si>
    <t>Senior Data Science Systems Engineer</t>
  </si>
  <si>
    <t>Hampton, VA</t>
  </si>
  <si>
    <t>ENVIRONMENTAL ENGINEER/SCIENTIST</t>
  </si>
  <si>
    <t>Construction</t>
  </si>
  <si>
    <t>Senior Scientist - Regulatory Submissions</t>
  </si>
  <si>
    <t>Scientist - Biomarker and Flow Cytometry</t>
  </si>
  <si>
    <t>Revenue Analytics Manager</t>
  </si>
  <si>
    <t>Associate Scientist, LC/MS Biologics</t>
  </si>
  <si>
    <t>Ithaca, NY</t>
  </si>
  <si>
    <t>Sr. Scientist Method Development</t>
  </si>
  <si>
    <t>Marietta, GA</t>
  </si>
  <si>
    <t>IT - Data Engineer II</t>
  </si>
  <si>
    <t>Quincy, MA</t>
  </si>
  <si>
    <t>Research Scientist, Immunology - Cancer Biology</t>
  </si>
  <si>
    <t>Project Scientist - Auton Lab, Robotics Institute</t>
  </si>
  <si>
    <t>Enterprise Architect, Data</t>
  </si>
  <si>
    <t>Senior Manager, Epidemiologic Data Scientist</t>
  </si>
  <si>
    <t>Corporate Risk Data Analyst (SQL Based) - Milwaukee or</t>
  </si>
  <si>
    <t>Green Bay, WI</t>
  </si>
  <si>
    <t>Marketing Data Analyst, May 2020 Undergrad</t>
  </si>
  <si>
    <t>Durham, NC</t>
  </si>
  <si>
    <t>Data Modeler - Data Solutions Engineer</t>
  </si>
  <si>
    <t>Associate Environmental Scientist - Wildlife Biologist</t>
  </si>
  <si>
    <t>Clovis, CA</t>
  </si>
  <si>
    <t>Associate, Data Science, Internal Audit</t>
  </si>
  <si>
    <t>Sr Data Engineer (Sr BI Developer)</t>
  </si>
  <si>
    <t>Chandler, AZ</t>
  </si>
  <si>
    <t>Franklin, TN</t>
  </si>
  <si>
    <t>Senior LiDAR Data Scientist</t>
  </si>
  <si>
    <t>Orlando, FL</t>
  </si>
  <si>
    <t>Salesforce Analytics Consultant</t>
  </si>
  <si>
    <t>Technology-Minded, Data Professional Opportunities</t>
  </si>
  <si>
    <t>Columbia, MO</t>
  </si>
  <si>
    <t>Managing Data Scientist/ML Engineer</t>
  </si>
  <si>
    <t>Scientist, Pharmacometrics</t>
  </si>
  <si>
    <t>Staff Scientist- Upstream PD</t>
  </si>
  <si>
    <t>Scientist Manufacturing Pharma - Kentucky BioProcessing</t>
  </si>
  <si>
    <t>Lead Big Data Engineer</t>
  </si>
  <si>
    <t>Product Engineer â€“ Spatial Data Science and Statistical Analysis</t>
  </si>
  <si>
    <t>Sr Software Engineer (Data Scientist)</t>
  </si>
  <si>
    <t>Westlake, OH</t>
  </si>
  <si>
    <t>Sr. Data Engineer (ETL Developer)</t>
  </si>
  <si>
    <t>Des Moines, IA</t>
  </si>
  <si>
    <t>Senior Data Scientist Artificial Intelligence</t>
  </si>
  <si>
    <t>Analytics - Business Assurance Data Analyst</t>
  </si>
  <si>
    <t>Cedar Rapids, IA</t>
  </si>
  <si>
    <t>Associate Director/Director, Safety Scientist</t>
  </si>
  <si>
    <t>Senior Scientist, Cell Pharmacology/Assay Development</t>
  </si>
  <si>
    <t>Data Analyst Senior</t>
  </si>
  <si>
    <t>Lead Data Engineer (Python)</t>
  </si>
  <si>
    <t>Senior Data Scientist 4 Artificial Intelligence</t>
  </si>
  <si>
    <t>Medical Lab Scientist - MLT</t>
  </si>
  <si>
    <t>Senior Operations Data Analyst, Call Center Operations</t>
  </si>
  <si>
    <t>Director II, Data Science - GRS Predictive Analytics</t>
  </si>
  <si>
    <t>RESEARCH COMPUTER SCIENTIST - RESEARCH ENGINEER - SR. COMPUTER SCIENTIST - SOFTWARE DEVELOPMENT</t>
  </si>
  <si>
    <t>Geospatial Software Developer and Data Scientist</t>
  </si>
  <si>
    <t>Senior Scientist - Toxicologist - Product Integrity (Stewardship)</t>
  </si>
  <si>
    <t>Systems Engineer II - Data Analyst</t>
  </si>
  <si>
    <t>Senior Research Analytical Scientist-Non-Targeted Analysis</t>
  </si>
  <si>
    <t>Director Data Science</t>
  </si>
  <si>
    <t>Fort Lee, NJ</t>
  </si>
  <si>
    <t>Sr Data Analyst - IT</t>
  </si>
  <si>
    <t>Blue Bell, PA</t>
  </si>
  <si>
    <t>Associate Machine Learning Engineer / Data Scientist May 2020 Undergrad</t>
  </si>
  <si>
    <t>Senior Scientist - Biostatistician</t>
  </si>
  <si>
    <t>Springfield, VA</t>
  </si>
  <si>
    <t>Jersey City, NJ</t>
  </si>
  <si>
    <t>Principal Machine Learning Scientist</t>
  </si>
  <si>
    <t>Emeryville, CA</t>
  </si>
  <si>
    <t>Santa Barbara, CA</t>
  </si>
  <si>
    <t>Carle Place, NY</t>
  </si>
  <si>
    <t>King of Prussia, PA</t>
  </si>
  <si>
    <t>Accounting</t>
  </si>
  <si>
    <t>Brisbane, CA</t>
  </si>
  <si>
    <t>Data Analyst, Performance Partnership</t>
  </si>
  <si>
    <t>Health Care Products Manufacturing</t>
  </si>
  <si>
    <t>Health, Beauty, &amp; Fitness</t>
  </si>
  <si>
    <t>Holyoke, MA</t>
  </si>
  <si>
    <t>Data Scientist Manager</t>
  </si>
  <si>
    <t>Software Data Engineer - College</t>
  </si>
  <si>
    <t>Corvallis, OR</t>
  </si>
  <si>
    <t>Senior Data Scientist - Algorithms</t>
  </si>
  <si>
    <t>Senior Data Scientist Oncology</t>
  </si>
  <si>
    <t>Gaithersburg, MD</t>
  </si>
  <si>
    <t>Irvine, CA</t>
  </si>
  <si>
    <t>Principal Data Scientist</t>
  </si>
  <si>
    <t>Data Scientist - Alpha Insights</t>
  </si>
  <si>
    <t>Associate Principal Scientist, Pharmacogenomics</t>
  </si>
  <si>
    <t>Data Scientist - Systems Engineering</t>
  </si>
  <si>
    <t>Consumer Product Rental</t>
  </si>
  <si>
    <t>Data Engineer - Consultant (Charlotte Based)</t>
  </si>
  <si>
    <t>Data Analyst 1, full-time contract worker for up to 12 months</t>
  </si>
  <si>
    <t>Aliso Viejo, CA</t>
  </si>
  <si>
    <t>Scientist, Immuno-Oncology</t>
  </si>
  <si>
    <t>Products Data Analyst II</t>
  </si>
  <si>
    <t>Dublin, CA</t>
  </si>
  <si>
    <t>Lead Data Analyst</t>
  </si>
  <si>
    <t>Data Science Engineer - Mobile</t>
  </si>
  <si>
    <t>Arvada, CO</t>
  </si>
  <si>
    <t>Sr Expert Data Science, Advanced Visual Analytics (Associate level)</t>
  </si>
  <si>
    <t>IT Associate Data Analyst</t>
  </si>
  <si>
    <t>Business Data Analyst</t>
  </si>
  <si>
    <t>Data Scientist - Sales</t>
  </si>
  <si>
    <t>Principal, Data Science - Advanced Analytics</t>
  </si>
  <si>
    <t>Plymouth Meeting, PA</t>
  </si>
  <si>
    <t>Data Science Project Manager</t>
  </si>
  <si>
    <t>Sr Scientist, Immuno-Oncology - Oncology</t>
  </si>
  <si>
    <t>Research Scientist â€“ Security and Privacy</t>
  </si>
  <si>
    <t>Data Science Manager</t>
  </si>
  <si>
    <t>Allentown, PA</t>
  </si>
  <si>
    <t>Data Analyst 2 (Missionary Department)</t>
  </si>
  <si>
    <t>Supply Chain Data Analyst</t>
  </si>
  <si>
    <t>Logan, UT</t>
  </si>
  <si>
    <t>Data Engineer - ETL</t>
  </si>
  <si>
    <t>Birmingham, AL</t>
  </si>
  <si>
    <t>Data Modeler (Analytical Systems)</t>
  </si>
  <si>
    <t>Data Scientist in Translational Medicine</t>
  </si>
  <si>
    <t>Product Manager/Data Evangelist</t>
  </si>
  <si>
    <t>Senior Data Scientist â€“ Visualization, Novartis AI Innovation Lab</t>
  </si>
  <si>
    <t>Senior Data Analyst/Scientist</t>
  </si>
  <si>
    <t>Scientist â€“ Cancer Discovery, Molecular Assay</t>
  </si>
  <si>
    <t>Scottsdale, AZ</t>
  </si>
  <si>
    <t>Data Engineering Analyst</t>
  </si>
  <si>
    <t>Bloomington, IL</t>
  </si>
  <si>
    <t>Manager of Data Science</t>
  </si>
  <si>
    <t>Software Engineer (Data Scientist/Software Engineer) - SISW - MG</t>
  </si>
  <si>
    <t>Associate Research Scientist I (Protein Expression and Production)</t>
  </si>
  <si>
    <t>Alameda, CA</t>
  </si>
  <si>
    <t>Director, Precision Medicine Clinical Biomarker Scientist</t>
  </si>
  <si>
    <t>Senior Formulations Scientist II</t>
  </si>
  <si>
    <t>Senior Quantitative Analyst</t>
  </si>
  <si>
    <t>Roanoke, VA</t>
  </si>
  <si>
    <t>Research Scientist or Senior Research Scientist - Computer Vision</t>
  </si>
  <si>
    <t>Data Analyst Chemist - Quality System Contractor</t>
  </si>
  <si>
    <t>Beauty &amp; Personal Accessories Stores</t>
  </si>
  <si>
    <t>Research Scientist / Principal Research Scientist - Multiphysical Systems</t>
  </si>
  <si>
    <t>Research Scientist, Machine Learning Department</t>
  </si>
  <si>
    <t>Foundational Community Supports Data Analyst</t>
  </si>
  <si>
    <t>Senior Health Data Analyst, Star Ratings</t>
  </si>
  <si>
    <t>Glen Burnie, MD</t>
  </si>
  <si>
    <t>Principal Research Scientist/Team Lead, Medicinal Chemistry - Oncology</t>
  </si>
  <si>
    <t>Senior Engineer, Data Management Engineering</t>
  </si>
  <si>
    <t>Milpitas, CA</t>
  </si>
  <si>
    <t>Quality Control Scientist III- Analytical Development</t>
  </si>
  <si>
    <t>Clinical Scientist, Clinical Development</t>
  </si>
  <si>
    <t>Watertown, MA</t>
  </si>
  <si>
    <t>Software Engineer Staff Scientist: Human Language Technologies</t>
  </si>
  <si>
    <t>Cambridge, MD</t>
  </si>
  <si>
    <t>Manager, Safety Scientist, Medical Safety &amp; Risk Management</t>
  </si>
  <si>
    <t>Assistant Director/Director, Office of Data Science</t>
  </si>
  <si>
    <t>Sr. Data Engineer | Big Data SaaS Pipeline</t>
  </si>
  <si>
    <t>Scientist - CVRM Metabolism - in vivo pharmacology</t>
  </si>
  <si>
    <t>Data Scientist (Warehouse Automation)</t>
  </si>
  <si>
    <t>Jr. Data Scientist</t>
  </si>
  <si>
    <t>Ann Arbor, MI</t>
  </si>
  <si>
    <t>Data Architect / Data Modeler</t>
  </si>
  <si>
    <t>Olympia, WA</t>
  </si>
  <si>
    <t>Associate Scientist / Sr. Associate Scientist, Antibody Discovery</t>
  </si>
  <si>
    <t>Machine Learning Engineer (NLP)</t>
  </si>
  <si>
    <t>Job Category</t>
  </si>
  <si>
    <t xml:space="preserve">City </t>
  </si>
  <si>
    <t>Exp Level</t>
  </si>
  <si>
    <t xml:space="preserve">Salary Range </t>
  </si>
  <si>
    <t>Lower Salary(in K)</t>
  </si>
  <si>
    <t>Upper Salary(in K )</t>
  </si>
  <si>
    <t>Row Labels</t>
  </si>
  <si>
    <t>Grand Total</t>
  </si>
  <si>
    <t>DS Manager</t>
  </si>
  <si>
    <t>Director/VP</t>
  </si>
  <si>
    <t>ML Engineer</t>
  </si>
  <si>
    <t>Count of Job Title</t>
  </si>
  <si>
    <t>(All)</t>
  </si>
  <si>
    <t>(Multiple Items)</t>
  </si>
  <si>
    <t>Values</t>
  </si>
  <si>
    <t>Average of Avg Salary(K)</t>
  </si>
  <si>
    <t>Average of Upper Salary(in K )</t>
  </si>
  <si>
    <t>Average of Lower Salary(in K)</t>
  </si>
  <si>
    <t>Austin</t>
  </si>
  <si>
    <t>Boston</t>
  </si>
  <si>
    <t>Cambridge</t>
  </si>
  <si>
    <t>Chicago</t>
  </si>
  <si>
    <t>Dublin</t>
  </si>
  <si>
    <t>Fort Lee</t>
  </si>
  <si>
    <t>Herndon</t>
  </si>
  <si>
    <t>Indianapolis</t>
  </si>
  <si>
    <t>Jersey City</t>
  </si>
  <si>
    <t>Marlborough</t>
  </si>
  <si>
    <t>Mountain View</t>
  </si>
  <si>
    <t>Natick</t>
  </si>
  <si>
    <t>New York</t>
  </si>
  <si>
    <t>Newark</t>
  </si>
  <si>
    <t>Novato</t>
  </si>
  <si>
    <t>Palo Alto</t>
  </si>
  <si>
    <t>Pittsburgh</t>
  </si>
  <si>
    <t>Richland</t>
  </si>
  <si>
    <t>Rockville</t>
  </si>
  <si>
    <t>San Diego</t>
  </si>
  <si>
    <t>San Francisco</t>
  </si>
  <si>
    <t>San Jose</t>
  </si>
  <si>
    <t>Santa Clara</t>
  </si>
  <si>
    <t>Springfield</t>
  </si>
  <si>
    <t>Washington</t>
  </si>
  <si>
    <t>Winston-Salem</t>
  </si>
  <si>
    <t>Count of Count of Job Title2</t>
  </si>
  <si>
    <t>Average of Rating</t>
  </si>
  <si>
    <t>Rating Band</t>
  </si>
  <si>
    <t>3.5–4.0</t>
  </si>
  <si>
    <t>3.0–3.5</t>
  </si>
  <si>
    <t>4.5+</t>
  </si>
  <si>
    <t>Under 3.0</t>
  </si>
  <si>
    <t>4.0–4.5</t>
  </si>
  <si>
    <t>Column Labels</t>
  </si>
  <si>
    <t>$100–125K</t>
  </si>
  <si>
    <t>$125–150K</t>
  </si>
  <si>
    <t>$50–75K</t>
  </si>
  <si>
    <t>$75–100K</t>
  </si>
  <si>
    <t>&lt;$50K</t>
  </si>
  <si>
    <t>&gt;$150K</t>
  </si>
  <si>
    <t xml:space="preserve"> Max</t>
  </si>
  <si>
    <t xml:space="preserve"> 75th Pct</t>
  </si>
  <si>
    <t>25th Pct</t>
  </si>
  <si>
    <t>Min</t>
  </si>
  <si>
    <t>Std Dev</t>
  </si>
  <si>
    <t xml:space="preserve"> Median</t>
  </si>
  <si>
    <t>Mean</t>
  </si>
  <si>
    <t>Count</t>
  </si>
  <si>
    <t xml:space="preserve">             Avg salary statistics </t>
  </si>
</sst>
</file>

<file path=xl/styles.xml><?xml version="1.0" encoding="utf-8"?>
<styleSheet xmlns="http://schemas.openxmlformats.org/spreadsheetml/2006/main">
  <numFmts count="3">
    <numFmt numFmtId="7" formatCode="&quot;$&quot;#,##0.00_);\(&quot;$&quot;#,##0.00\)"/>
    <numFmt numFmtId="164" formatCode="0.0_);\(0.0\)"/>
    <numFmt numFmtId="165" formatCode="0.00_);\(0.00\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17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14" fontId="0" fillId="0" borderId="0" xfId="0" applyNumberFormat="1" applyAlignment="1">
      <alignment horizontal="left"/>
    </xf>
    <xf numFmtId="7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6" fillId="33" borderId="0" xfId="0" applyFont="1" applyFill="1"/>
    <xf numFmtId="0" fontId="16" fillId="33" borderId="19" xfId="0" applyFont="1" applyFill="1" applyBorder="1"/>
    <xf numFmtId="0" fontId="16" fillId="33" borderId="20" xfId="0" applyFont="1" applyFill="1" applyBorder="1" applyAlignment="1">
      <alignment horizontal="left"/>
    </xf>
    <xf numFmtId="0" fontId="16" fillId="33" borderId="20" xfId="0" applyNumberFormat="1" applyFont="1" applyFill="1" applyBorder="1"/>
    <xf numFmtId="0" fontId="14" fillId="34" borderId="0" xfId="0" applyFon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Salary</a:t>
            </a:r>
            <a:r>
              <a:rPr lang="en-US" baseline="0"/>
              <a:t> Band Distributions </a:t>
            </a:r>
            <a:endParaRPr lang="en-US"/>
          </a:p>
        </c:rich>
      </c:tx>
      <c:layout/>
      <c:overlay val="1"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  <c:pivotFmt>
        <c:idx val="18"/>
        <c:marker>
          <c:symbol val="none"/>
        </c:marker>
      </c:pivotFmt>
      <c:pivotFmt>
        <c:idx val="19"/>
        <c:marker>
          <c:symbol val="none"/>
        </c:marker>
      </c:pivotFmt>
      <c:pivotFmt>
        <c:idx val="20"/>
        <c:marker>
          <c:symbol val="none"/>
        </c:marker>
      </c:pivotFmt>
      <c:pivotFmt>
        <c:idx val="21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8.702110583284528E-2"/>
          <c:y val="5.1400554097404488E-2"/>
          <c:w val="0.68477056896813515"/>
          <c:h val="0.79822506561679785"/>
        </c:manualLayout>
      </c:layout>
      <c:barChart>
        <c:barDir val="col"/>
        <c:grouping val="clustered"/>
        <c:ser>
          <c:idx val="0"/>
          <c:order val="0"/>
          <c:tx>
            <c:v>Data Analyst</c:v>
          </c:tx>
          <c:cat>
            <c:strLit>
              <c:ptCount val="6"/>
              <c:pt idx="0">
                <c:v>$100–125K</c:v>
              </c:pt>
              <c:pt idx="1">
                <c:v>$125–150K</c:v>
              </c:pt>
              <c:pt idx="2">
                <c:v>$50–75K</c:v>
              </c:pt>
              <c:pt idx="3">
                <c:v>$75–100K</c:v>
              </c:pt>
              <c:pt idx="4">
                <c:v>&lt;$50K</c:v>
              </c:pt>
              <c:pt idx="5">
                <c:v>&gt;$150K</c:v>
              </c:pt>
            </c:strLit>
          </c:cat>
          <c:val>
            <c:numLit>
              <c:formatCode>General</c:formatCode>
              <c:ptCount val="6"/>
              <c:pt idx="0">
                <c:v>7</c:v>
              </c:pt>
              <c:pt idx="1">
                <c:v>2</c:v>
              </c:pt>
              <c:pt idx="2">
                <c:v>51</c:v>
              </c:pt>
              <c:pt idx="3">
                <c:v>13</c:v>
              </c:pt>
              <c:pt idx="4">
                <c:v>26</c:v>
              </c:pt>
              <c:pt idx="5">
                <c:v>0</c:v>
              </c:pt>
            </c:numLit>
          </c:val>
        </c:ser>
        <c:ser>
          <c:idx val="1"/>
          <c:order val="1"/>
          <c:tx>
            <c:v>Data Engineer</c:v>
          </c:tx>
          <c:cat>
            <c:strLit>
              <c:ptCount val="6"/>
              <c:pt idx="0">
                <c:v>$100–125K</c:v>
              </c:pt>
              <c:pt idx="1">
                <c:v>$125–150K</c:v>
              </c:pt>
              <c:pt idx="2">
                <c:v>$50–75K</c:v>
              </c:pt>
              <c:pt idx="3">
                <c:v>$75–100K</c:v>
              </c:pt>
              <c:pt idx="4">
                <c:v>&lt;$50K</c:v>
              </c:pt>
              <c:pt idx="5">
                <c:v>&gt;$150K</c:v>
              </c:pt>
            </c:strLit>
          </c:cat>
          <c:val>
            <c:numLit>
              <c:formatCode>General</c:formatCode>
              <c:ptCount val="6"/>
              <c:pt idx="0">
                <c:v>39</c:v>
              </c:pt>
              <c:pt idx="1">
                <c:v>11</c:v>
              </c:pt>
              <c:pt idx="2">
                <c:v>14</c:v>
              </c:pt>
              <c:pt idx="3">
                <c:v>45</c:v>
              </c:pt>
              <c:pt idx="4">
                <c:v>0</c:v>
              </c:pt>
              <c:pt idx="5">
                <c:v>10</c:v>
              </c:pt>
            </c:numLit>
          </c:val>
        </c:ser>
        <c:ser>
          <c:idx val="2"/>
          <c:order val="2"/>
          <c:tx>
            <c:v>Data Scientist</c:v>
          </c:tx>
          <c:cat>
            <c:strLit>
              <c:ptCount val="6"/>
              <c:pt idx="0">
                <c:v>$100–125K</c:v>
              </c:pt>
              <c:pt idx="1">
                <c:v>$125–150K</c:v>
              </c:pt>
              <c:pt idx="2">
                <c:v>$50–75K</c:v>
              </c:pt>
              <c:pt idx="3">
                <c:v>$75–100K</c:v>
              </c:pt>
              <c:pt idx="4">
                <c:v>&lt;$50K</c:v>
              </c:pt>
              <c:pt idx="5">
                <c:v>&gt;$150K</c:v>
              </c:pt>
            </c:strLit>
          </c:cat>
          <c:val>
            <c:numLit>
              <c:formatCode>General</c:formatCode>
              <c:ptCount val="6"/>
              <c:pt idx="0">
                <c:v>109</c:v>
              </c:pt>
              <c:pt idx="1">
                <c:v>71</c:v>
              </c:pt>
              <c:pt idx="2">
                <c:v>67</c:v>
              </c:pt>
              <c:pt idx="3">
                <c:v>127</c:v>
              </c:pt>
              <c:pt idx="4">
                <c:v>10</c:v>
              </c:pt>
              <c:pt idx="5">
                <c:v>51</c:v>
              </c:pt>
            </c:numLit>
          </c:val>
        </c:ser>
        <c:ser>
          <c:idx val="3"/>
          <c:order val="3"/>
          <c:tx>
            <c:v>Director/VP</c:v>
          </c:tx>
          <c:cat>
            <c:strLit>
              <c:ptCount val="6"/>
              <c:pt idx="0">
                <c:v>$100–125K</c:v>
              </c:pt>
              <c:pt idx="1">
                <c:v>$125–150K</c:v>
              </c:pt>
              <c:pt idx="2">
                <c:v>$50–75K</c:v>
              </c:pt>
              <c:pt idx="3">
                <c:v>$75–100K</c:v>
              </c:pt>
              <c:pt idx="4">
                <c:v>&lt;$50K</c:v>
              </c:pt>
              <c:pt idx="5">
                <c:v>&gt;$150K</c:v>
              </c:pt>
            </c:strLit>
          </c:cat>
          <c:val>
            <c:numLit>
              <c:formatCode>General</c:formatCode>
              <c:ptCount val="6"/>
              <c:pt idx="0">
                <c:v>2</c:v>
              </c:pt>
              <c:pt idx="1">
                <c:v>2</c:v>
              </c:pt>
              <c:pt idx="2">
                <c:v>1</c:v>
              </c:pt>
              <c:pt idx="3">
                <c:v>0</c:v>
              </c:pt>
              <c:pt idx="4">
                <c:v>0</c:v>
              </c:pt>
              <c:pt idx="5">
                <c:v>9</c:v>
              </c:pt>
            </c:numLit>
          </c:val>
        </c:ser>
        <c:ser>
          <c:idx val="4"/>
          <c:order val="4"/>
          <c:tx>
            <c:v>DS Manager</c:v>
          </c:tx>
          <c:cat>
            <c:strLit>
              <c:ptCount val="6"/>
              <c:pt idx="0">
                <c:v>$100–125K</c:v>
              </c:pt>
              <c:pt idx="1">
                <c:v>$125–150K</c:v>
              </c:pt>
              <c:pt idx="2">
                <c:v>$50–75K</c:v>
              </c:pt>
              <c:pt idx="3">
                <c:v>$75–100K</c:v>
              </c:pt>
              <c:pt idx="4">
                <c:v>&lt;$50K</c:v>
              </c:pt>
              <c:pt idx="5">
                <c:v>&gt;$150K</c:v>
              </c:pt>
            </c:strLit>
          </c:cat>
          <c:val>
            <c:numLit>
              <c:formatCode>General</c:formatCode>
              <c:ptCount val="6"/>
              <c:pt idx="0">
                <c:v>2</c:v>
              </c:pt>
              <c:pt idx="1">
                <c:v>3</c:v>
              </c:pt>
              <c:pt idx="2">
                <c:v>13</c:v>
              </c:pt>
              <c:pt idx="3">
                <c:v>3</c:v>
              </c:pt>
              <c:pt idx="4">
                <c:v>1</c:v>
              </c:pt>
              <c:pt idx="5">
                <c:v>3</c:v>
              </c:pt>
            </c:numLit>
          </c:val>
        </c:ser>
        <c:ser>
          <c:idx val="5"/>
          <c:order val="5"/>
          <c:tx>
            <c:v>ML Engineer</c:v>
          </c:tx>
          <c:cat>
            <c:strLit>
              <c:ptCount val="6"/>
              <c:pt idx="0">
                <c:v>$100–125K</c:v>
              </c:pt>
              <c:pt idx="1">
                <c:v>$125–150K</c:v>
              </c:pt>
              <c:pt idx="2">
                <c:v>$50–75K</c:v>
              </c:pt>
              <c:pt idx="3">
                <c:v>$75–100K</c:v>
              </c:pt>
              <c:pt idx="4">
                <c:v>&lt;$50K</c:v>
              </c:pt>
              <c:pt idx="5">
                <c:v>&gt;$150K</c:v>
              </c:pt>
            </c:strLit>
          </c:cat>
          <c:val>
            <c:numLit>
              <c:formatCode>General</c:formatCode>
              <c:ptCount val="6"/>
              <c:pt idx="0">
                <c:v>11</c:v>
              </c:pt>
              <c:pt idx="1">
                <c:v>4</c:v>
              </c:pt>
              <c:pt idx="2">
                <c:v>2</c:v>
              </c:pt>
              <c:pt idx="3">
                <c:v>8</c:v>
              </c:pt>
              <c:pt idx="4">
                <c:v>0</c:v>
              </c:pt>
              <c:pt idx="5">
                <c:v>4</c:v>
              </c:pt>
            </c:numLit>
          </c:val>
        </c:ser>
        <c:ser>
          <c:idx val="6"/>
          <c:order val="6"/>
          <c:tx>
            <c:v>Research Scientist</c:v>
          </c:tx>
          <c:cat>
            <c:strLit>
              <c:ptCount val="6"/>
              <c:pt idx="0">
                <c:v>$100–125K</c:v>
              </c:pt>
              <c:pt idx="1">
                <c:v>$125–150K</c:v>
              </c:pt>
              <c:pt idx="2">
                <c:v>$50–75K</c:v>
              </c:pt>
              <c:pt idx="3">
                <c:v>$75–100K</c:v>
              </c:pt>
              <c:pt idx="4">
                <c:v>&lt;$50K</c:v>
              </c:pt>
              <c:pt idx="5">
                <c:v>&gt;$150K</c:v>
              </c:pt>
            </c:strLit>
          </c:cat>
          <c:val>
            <c:numLit>
              <c:formatCode>General</c:formatCode>
              <c:ptCount val="6"/>
              <c:pt idx="0">
                <c:v>6</c:v>
              </c:pt>
              <c:pt idx="1">
                <c:v>1</c:v>
              </c:pt>
              <c:pt idx="2">
                <c:v>9</c:v>
              </c:pt>
              <c:pt idx="3">
                <c:v>4</c:v>
              </c:pt>
              <c:pt idx="4">
                <c:v>0</c:v>
              </c:pt>
              <c:pt idx="5">
                <c:v>1</c:v>
              </c:pt>
            </c:numLit>
          </c:val>
        </c:ser>
        <c:axId val="206664064"/>
        <c:axId val="206665984"/>
      </c:barChart>
      <c:catAx>
        <c:axId val="2066640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Salary</a:t>
                </a:r>
                <a:r>
                  <a:rPr lang="en-US" baseline="0"/>
                  <a:t> Range</a:t>
                </a:r>
              </a:p>
            </c:rich>
          </c:tx>
          <c:layout/>
        </c:title>
        <c:tickLblPos val="nextTo"/>
        <c:crossAx val="206665984"/>
        <c:crosses val="autoZero"/>
        <c:auto val="1"/>
        <c:lblAlgn val="ctr"/>
        <c:lblOffset val="100"/>
      </c:catAx>
      <c:valAx>
        <c:axId val="206665984"/>
        <c:scaling>
          <c:orientation val="minMax"/>
        </c:scaling>
        <c:axPos val="l"/>
        <c:majorGridlines/>
        <c:numFmt formatCode="General" sourceLinked="1"/>
        <c:tickLblPos val="nextTo"/>
        <c:crossAx val="20666406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0"/>
  <c:chart>
    <c:title>
      <c:tx>
        <c:rich>
          <a:bodyPr/>
          <a:lstStyle/>
          <a:p>
            <a:pPr>
              <a:defRPr/>
            </a:pPr>
            <a:r>
              <a:rPr lang="en-US"/>
              <a:t>Avg</a:t>
            </a:r>
            <a:r>
              <a:rPr lang="en-US" baseline="0"/>
              <a:t> Rating vs Avg Salary </a:t>
            </a:r>
            <a:endParaRPr lang="en-US"/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strRef>
              <c:f>RatingScatter!$B$1</c:f>
              <c:strCache>
                <c:ptCount val="1"/>
                <c:pt idx="0">
                  <c:v>Avg Salary(K)</c:v>
                </c:pt>
              </c:strCache>
            </c:strRef>
          </c:tx>
          <c:trendline>
            <c:trendlineType val="linear"/>
          </c:trendline>
          <c:trendline>
            <c:trendlineType val="linear"/>
          </c:trendline>
          <c:xVal>
            <c:numRef>
              <c:f>RatingScatter!$A$2:$A$743</c:f>
              <c:numCache>
                <c:formatCode>General</c:formatCode>
                <c:ptCount val="731"/>
                <c:pt idx="0">
                  <c:v>3.8</c:v>
                </c:pt>
                <c:pt idx="1">
                  <c:v>3.4</c:v>
                </c:pt>
                <c:pt idx="2">
                  <c:v>4.8</c:v>
                </c:pt>
                <c:pt idx="3">
                  <c:v>3.8</c:v>
                </c:pt>
                <c:pt idx="4">
                  <c:v>2.9</c:v>
                </c:pt>
                <c:pt idx="5">
                  <c:v>3.4</c:v>
                </c:pt>
                <c:pt idx="6">
                  <c:v>4.0999999999999996</c:v>
                </c:pt>
                <c:pt idx="7">
                  <c:v>3.8</c:v>
                </c:pt>
                <c:pt idx="8">
                  <c:v>3.3</c:v>
                </c:pt>
                <c:pt idx="9">
                  <c:v>4.5999999999999996</c:v>
                </c:pt>
                <c:pt idx="10">
                  <c:v>3.5</c:v>
                </c:pt>
                <c:pt idx="11">
                  <c:v>4.0999999999999996</c:v>
                </c:pt>
                <c:pt idx="12">
                  <c:v>3.2</c:v>
                </c:pt>
                <c:pt idx="13">
                  <c:v>4.0999999999999996</c:v>
                </c:pt>
                <c:pt idx="14">
                  <c:v>3.7</c:v>
                </c:pt>
                <c:pt idx="15">
                  <c:v>3.6</c:v>
                </c:pt>
                <c:pt idx="16">
                  <c:v>3.9</c:v>
                </c:pt>
                <c:pt idx="17">
                  <c:v>4.3</c:v>
                </c:pt>
                <c:pt idx="18">
                  <c:v>4.2</c:v>
                </c:pt>
                <c:pt idx="19">
                  <c:v>4</c:v>
                </c:pt>
                <c:pt idx="20">
                  <c:v>3.2</c:v>
                </c:pt>
                <c:pt idx="21">
                  <c:v>3.9</c:v>
                </c:pt>
                <c:pt idx="22">
                  <c:v>3.8</c:v>
                </c:pt>
                <c:pt idx="23">
                  <c:v>4.3</c:v>
                </c:pt>
                <c:pt idx="24">
                  <c:v>4</c:v>
                </c:pt>
                <c:pt idx="25">
                  <c:v>4</c:v>
                </c:pt>
                <c:pt idx="26">
                  <c:v>3.5</c:v>
                </c:pt>
                <c:pt idx="27">
                  <c:v>3.7</c:v>
                </c:pt>
                <c:pt idx="28">
                  <c:v>4</c:v>
                </c:pt>
                <c:pt idx="29">
                  <c:v>4.8</c:v>
                </c:pt>
                <c:pt idx="30">
                  <c:v>3.8</c:v>
                </c:pt>
                <c:pt idx="31">
                  <c:v>3.6</c:v>
                </c:pt>
                <c:pt idx="32">
                  <c:v>3.8</c:v>
                </c:pt>
                <c:pt idx="33">
                  <c:v>3.8</c:v>
                </c:pt>
                <c:pt idx="34">
                  <c:v>4.7</c:v>
                </c:pt>
                <c:pt idx="35">
                  <c:v>4.2</c:v>
                </c:pt>
                <c:pt idx="36">
                  <c:v>3.5</c:v>
                </c:pt>
                <c:pt idx="37">
                  <c:v>4.7</c:v>
                </c:pt>
                <c:pt idx="38">
                  <c:v>3.5</c:v>
                </c:pt>
                <c:pt idx="39">
                  <c:v>3.5</c:v>
                </c:pt>
                <c:pt idx="40">
                  <c:v>4.2</c:v>
                </c:pt>
                <c:pt idx="41">
                  <c:v>3.6</c:v>
                </c:pt>
                <c:pt idx="42">
                  <c:v>4.2</c:v>
                </c:pt>
                <c:pt idx="43">
                  <c:v>3.4</c:v>
                </c:pt>
                <c:pt idx="44">
                  <c:v>4.3</c:v>
                </c:pt>
                <c:pt idx="45">
                  <c:v>5</c:v>
                </c:pt>
                <c:pt idx="46">
                  <c:v>3.7</c:v>
                </c:pt>
                <c:pt idx="47">
                  <c:v>3.1</c:v>
                </c:pt>
                <c:pt idx="48">
                  <c:v>4.7</c:v>
                </c:pt>
                <c:pt idx="49">
                  <c:v>3.7</c:v>
                </c:pt>
                <c:pt idx="50">
                  <c:v>3.8</c:v>
                </c:pt>
                <c:pt idx="51">
                  <c:v>3.3</c:v>
                </c:pt>
                <c:pt idx="52">
                  <c:v>4.5999999999999996</c:v>
                </c:pt>
                <c:pt idx="53">
                  <c:v>3.7</c:v>
                </c:pt>
                <c:pt idx="54">
                  <c:v>3.7</c:v>
                </c:pt>
                <c:pt idx="55">
                  <c:v>3.5</c:v>
                </c:pt>
                <c:pt idx="56">
                  <c:v>4.0999999999999996</c:v>
                </c:pt>
                <c:pt idx="57">
                  <c:v>4.7</c:v>
                </c:pt>
                <c:pt idx="58">
                  <c:v>4.0999999999999996</c:v>
                </c:pt>
                <c:pt idx="59">
                  <c:v>3.4</c:v>
                </c:pt>
                <c:pt idx="60">
                  <c:v>4.4000000000000004</c:v>
                </c:pt>
                <c:pt idx="61">
                  <c:v>4.3</c:v>
                </c:pt>
                <c:pt idx="62">
                  <c:v>3.8</c:v>
                </c:pt>
                <c:pt idx="63">
                  <c:v>3.8</c:v>
                </c:pt>
                <c:pt idx="64">
                  <c:v>3.8</c:v>
                </c:pt>
                <c:pt idx="65">
                  <c:v>2.8</c:v>
                </c:pt>
                <c:pt idx="66">
                  <c:v>4.7</c:v>
                </c:pt>
                <c:pt idx="67">
                  <c:v>3.1</c:v>
                </c:pt>
                <c:pt idx="68">
                  <c:v>3.2</c:v>
                </c:pt>
                <c:pt idx="69">
                  <c:v>4</c:v>
                </c:pt>
                <c:pt idx="70">
                  <c:v>4.4000000000000004</c:v>
                </c:pt>
                <c:pt idx="71">
                  <c:v>3.6</c:v>
                </c:pt>
                <c:pt idx="72">
                  <c:v>2.7</c:v>
                </c:pt>
                <c:pt idx="73">
                  <c:v>3.9</c:v>
                </c:pt>
                <c:pt idx="74">
                  <c:v>3.1</c:v>
                </c:pt>
                <c:pt idx="75">
                  <c:v>4</c:v>
                </c:pt>
                <c:pt idx="76">
                  <c:v>4.3</c:v>
                </c:pt>
                <c:pt idx="77">
                  <c:v>1.9</c:v>
                </c:pt>
                <c:pt idx="78">
                  <c:v>3.3</c:v>
                </c:pt>
                <c:pt idx="79">
                  <c:v>4.4000000000000004</c:v>
                </c:pt>
                <c:pt idx="80">
                  <c:v>3.9</c:v>
                </c:pt>
                <c:pt idx="81">
                  <c:v>4.7</c:v>
                </c:pt>
                <c:pt idx="82">
                  <c:v>4.5</c:v>
                </c:pt>
                <c:pt idx="83">
                  <c:v>4.3</c:v>
                </c:pt>
                <c:pt idx="84">
                  <c:v>4</c:v>
                </c:pt>
                <c:pt idx="85">
                  <c:v>4.4000000000000004</c:v>
                </c:pt>
                <c:pt idx="86">
                  <c:v>3.2</c:v>
                </c:pt>
                <c:pt idx="87">
                  <c:v>3.8</c:v>
                </c:pt>
                <c:pt idx="88">
                  <c:v>4.2</c:v>
                </c:pt>
                <c:pt idx="89">
                  <c:v>4.5</c:v>
                </c:pt>
                <c:pt idx="90">
                  <c:v>3.5</c:v>
                </c:pt>
                <c:pt idx="91">
                  <c:v>3.5</c:v>
                </c:pt>
                <c:pt idx="92">
                  <c:v>3.9</c:v>
                </c:pt>
                <c:pt idx="93">
                  <c:v>4.7</c:v>
                </c:pt>
                <c:pt idx="94">
                  <c:v>4.2</c:v>
                </c:pt>
                <c:pt idx="95">
                  <c:v>3.4</c:v>
                </c:pt>
                <c:pt idx="96">
                  <c:v>3.2</c:v>
                </c:pt>
                <c:pt idx="97">
                  <c:v>3.9</c:v>
                </c:pt>
                <c:pt idx="98">
                  <c:v>3.1</c:v>
                </c:pt>
                <c:pt idx="99">
                  <c:v>4.0999999999999996</c:v>
                </c:pt>
                <c:pt idx="100">
                  <c:v>3.8</c:v>
                </c:pt>
                <c:pt idx="101">
                  <c:v>4.7</c:v>
                </c:pt>
                <c:pt idx="102">
                  <c:v>4.3</c:v>
                </c:pt>
                <c:pt idx="103">
                  <c:v>4.2</c:v>
                </c:pt>
                <c:pt idx="104">
                  <c:v>3.9</c:v>
                </c:pt>
                <c:pt idx="105">
                  <c:v>3.3</c:v>
                </c:pt>
                <c:pt idx="106">
                  <c:v>4.7</c:v>
                </c:pt>
                <c:pt idx="107">
                  <c:v>4.3</c:v>
                </c:pt>
                <c:pt idx="108">
                  <c:v>2.9</c:v>
                </c:pt>
                <c:pt idx="109">
                  <c:v>4.5</c:v>
                </c:pt>
                <c:pt idx="110">
                  <c:v>3.4</c:v>
                </c:pt>
                <c:pt idx="111">
                  <c:v>3.7</c:v>
                </c:pt>
                <c:pt idx="112">
                  <c:v>4.5999999999999996</c:v>
                </c:pt>
                <c:pt idx="113">
                  <c:v>3.2</c:v>
                </c:pt>
                <c:pt idx="114">
                  <c:v>4</c:v>
                </c:pt>
                <c:pt idx="115">
                  <c:v>4.5999999999999996</c:v>
                </c:pt>
                <c:pt idx="116">
                  <c:v>2.8</c:v>
                </c:pt>
                <c:pt idx="117">
                  <c:v>4.7</c:v>
                </c:pt>
                <c:pt idx="118">
                  <c:v>3</c:v>
                </c:pt>
                <c:pt idx="119">
                  <c:v>3.2</c:v>
                </c:pt>
                <c:pt idx="120">
                  <c:v>4.4000000000000004</c:v>
                </c:pt>
                <c:pt idx="121">
                  <c:v>3.5</c:v>
                </c:pt>
                <c:pt idx="122">
                  <c:v>4</c:v>
                </c:pt>
                <c:pt idx="123">
                  <c:v>4.3</c:v>
                </c:pt>
                <c:pt idx="124">
                  <c:v>2.2999999999999998</c:v>
                </c:pt>
                <c:pt idx="125">
                  <c:v>4</c:v>
                </c:pt>
                <c:pt idx="126">
                  <c:v>3.6</c:v>
                </c:pt>
                <c:pt idx="127">
                  <c:v>3.8</c:v>
                </c:pt>
                <c:pt idx="128">
                  <c:v>3.7</c:v>
                </c:pt>
                <c:pt idx="129">
                  <c:v>4.4000000000000004</c:v>
                </c:pt>
                <c:pt idx="130">
                  <c:v>4</c:v>
                </c:pt>
                <c:pt idx="131">
                  <c:v>3.2</c:v>
                </c:pt>
                <c:pt idx="132">
                  <c:v>2.9</c:v>
                </c:pt>
                <c:pt idx="133">
                  <c:v>3.8</c:v>
                </c:pt>
                <c:pt idx="134">
                  <c:v>4.3</c:v>
                </c:pt>
                <c:pt idx="135">
                  <c:v>3.4</c:v>
                </c:pt>
                <c:pt idx="136">
                  <c:v>4.0999999999999996</c:v>
                </c:pt>
                <c:pt idx="137">
                  <c:v>4.3</c:v>
                </c:pt>
                <c:pt idx="138">
                  <c:v>5</c:v>
                </c:pt>
                <c:pt idx="139">
                  <c:v>4.3</c:v>
                </c:pt>
                <c:pt idx="140">
                  <c:v>3.7</c:v>
                </c:pt>
                <c:pt idx="141">
                  <c:v>4.2</c:v>
                </c:pt>
                <c:pt idx="142">
                  <c:v>4.3</c:v>
                </c:pt>
                <c:pt idx="143">
                  <c:v>2.6</c:v>
                </c:pt>
                <c:pt idx="144">
                  <c:v>3.8</c:v>
                </c:pt>
                <c:pt idx="145">
                  <c:v>3.9</c:v>
                </c:pt>
                <c:pt idx="146">
                  <c:v>4.3</c:v>
                </c:pt>
                <c:pt idx="147">
                  <c:v>3.8</c:v>
                </c:pt>
                <c:pt idx="148">
                  <c:v>3.8</c:v>
                </c:pt>
                <c:pt idx="149">
                  <c:v>3.8</c:v>
                </c:pt>
                <c:pt idx="150">
                  <c:v>4.8</c:v>
                </c:pt>
                <c:pt idx="151">
                  <c:v>4.4000000000000004</c:v>
                </c:pt>
                <c:pt idx="152">
                  <c:v>3.9</c:v>
                </c:pt>
                <c:pt idx="153">
                  <c:v>3.4</c:v>
                </c:pt>
                <c:pt idx="154">
                  <c:v>3.6</c:v>
                </c:pt>
                <c:pt idx="155">
                  <c:v>3.9</c:v>
                </c:pt>
                <c:pt idx="156">
                  <c:v>3.8</c:v>
                </c:pt>
                <c:pt idx="157">
                  <c:v>3.7</c:v>
                </c:pt>
                <c:pt idx="158">
                  <c:v>3.8</c:v>
                </c:pt>
                <c:pt idx="159">
                  <c:v>3.5</c:v>
                </c:pt>
                <c:pt idx="160">
                  <c:v>3.9</c:v>
                </c:pt>
                <c:pt idx="161">
                  <c:v>4.2</c:v>
                </c:pt>
                <c:pt idx="162">
                  <c:v>4.2</c:v>
                </c:pt>
                <c:pt idx="163">
                  <c:v>3.5</c:v>
                </c:pt>
                <c:pt idx="164">
                  <c:v>2.9</c:v>
                </c:pt>
                <c:pt idx="165">
                  <c:v>3.6</c:v>
                </c:pt>
                <c:pt idx="166">
                  <c:v>2.7</c:v>
                </c:pt>
                <c:pt idx="167">
                  <c:v>4.4000000000000004</c:v>
                </c:pt>
                <c:pt idx="168">
                  <c:v>4</c:v>
                </c:pt>
                <c:pt idx="169">
                  <c:v>4.3</c:v>
                </c:pt>
                <c:pt idx="170">
                  <c:v>4.2</c:v>
                </c:pt>
                <c:pt idx="171">
                  <c:v>3.6</c:v>
                </c:pt>
                <c:pt idx="172">
                  <c:v>3.7</c:v>
                </c:pt>
                <c:pt idx="173">
                  <c:v>2.8</c:v>
                </c:pt>
                <c:pt idx="174">
                  <c:v>3.7</c:v>
                </c:pt>
                <c:pt idx="175">
                  <c:v>3.3</c:v>
                </c:pt>
                <c:pt idx="176">
                  <c:v>3.6</c:v>
                </c:pt>
                <c:pt idx="177">
                  <c:v>3.7</c:v>
                </c:pt>
                <c:pt idx="178">
                  <c:v>3.4</c:v>
                </c:pt>
                <c:pt idx="179">
                  <c:v>4.0999999999999996</c:v>
                </c:pt>
                <c:pt idx="180">
                  <c:v>2.6</c:v>
                </c:pt>
                <c:pt idx="181">
                  <c:v>3.2</c:v>
                </c:pt>
                <c:pt idx="182">
                  <c:v>3.9</c:v>
                </c:pt>
                <c:pt idx="183">
                  <c:v>4.7</c:v>
                </c:pt>
                <c:pt idx="184">
                  <c:v>3.7</c:v>
                </c:pt>
                <c:pt idx="185">
                  <c:v>2.9</c:v>
                </c:pt>
                <c:pt idx="186">
                  <c:v>3</c:v>
                </c:pt>
                <c:pt idx="187">
                  <c:v>4.7</c:v>
                </c:pt>
                <c:pt idx="188">
                  <c:v>3.7</c:v>
                </c:pt>
                <c:pt idx="189">
                  <c:v>3.3</c:v>
                </c:pt>
                <c:pt idx="190">
                  <c:v>4</c:v>
                </c:pt>
                <c:pt idx="191">
                  <c:v>4.4000000000000004</c:v>
                </c:pt>
                <c:pt idx="192">
                  <c:v>3.9</c:v>
                </c:pt>
                <c:pt idx="193">
                  <c:v>3.3</c:v>
                </c:pt>
                <c:pt idx="194">
                  <c:v>4.0999999999999996</c:v>
                </c:pt>
                <c:pt idx="195">
                  <c:v>3.6</c:v>
                </c:pt>
                <c:pt idx="196">
                  <c:v>4</c:v>
                </c:pt>
                <c:pt idx="197">
                  <c:v>2.4</c:v>
                </c:pt>
                <c:pt idx="198">
                  <c:v>2.6</c:v>
                </c:pt>
                <c:pt idx="199">
                  <c:v>3.5</c:v>
                </c:pt>
                <c:pt idx="200">
                  <c:v>3</c:v>
                </c:pt>
                <c:pt idx="201">
                  <c:v>3.6</c:v>
                </c:pt>
                <c:pt idx="202">
                  <c:v>3.3</c:v>
                </c:pt>
                <c:pt idx="203">
                  <c:v>2.7</c:v>
                </c:pt>
                <c:pt idx="204">
                  <c:v>3.4</c:v>
                </c:pt>
                <c:pt idx="205">
                  <c:v>3.8</c:v>
                </c:pt>
                <c:pt idx="206">
                  <c:v>3.7</c:v>
                </c:pt>
                <c:pt idx="207">
                  <c:v>4.8</c:v>
                </c:pt>
                <c:pt idx="208">
                  <c:v>3.8</c:v>
                </c:pt>
                <c:pt idx="209">
                  <c:v>3.4</c:v>
                </c:pt>
                <c:pt idx="210">
                  <c:v>4.3</c:v>
                </c:pt>
                <c:pt idx="211">
                  <c:v>4.8</c:v>
                </c:pt>
                <c:pt idx="212">
                  <c:v>3.4</c:v>
                </c:pt>
                <c:pt idx="213">
                  <c:v>3.9</c:v>
                </c:pt>
                <c:pt idx="214">
                  <c:v>3.4</c:v>
                </c:pt>
                <c:pt idx="215">
                  <c:v>3.1</c:v>
                </c:pt>
                <c:pt idx="216">
                  <c:v>3.2</c:v>
                </c:pt>
                <c:pt idx="217">
                  <c:v>4.3</c:v>
                </c:pt>
                <c:pt idx="218">
                  <c:v>3.6</c:v>
                </c:pt>
                <c:pt idx="219">
                  <c:v>3.9</c:v>
                </c:pt>
                <c:pt idx="220">
                  <c:v>3.8</c:v>
                </c:pt>
                <c:pt idx="221">
                  <c:v>2.8</c:v>
                </c:pt>
                <c:pt idx="222">
                  <c:v>3.7</c:v>
                </c:pt>
                <c:pt idx="223">
                  <c:v>3.4</c:v>
                </c:pt>
                <c:pt idx="224">
                  <c:v>4</c:v>
                </c:pt>
                <c:pt idx="225">
                  <c:v>3.5</c:v>
                </c:pt>
                <c:pt idx="226">
                  <c:v>3.8</c:v>
                </c:pt>
                <c:pt idx="227">
                  <c:v>3.7</c:v>
                </c:pt>
                <c:pt idx="228">
                  <c:v>3.5</c:v>
                </c:pt>
                <c:pt idx="229">
                  <c:v>4.2</c:v>
                </c:pt>
                <c:pt idx="230">
                  <c:v>4</c:v>
                </c:pt>
                <c:pt idx="231">
                  <c:v>4.3</c:v>
                </c:pt>
                <c:pt idx="232">
                  <c:v>4.7</c:v>
                </c:pt>
                <c:pt idx="233">
                  <c:v>3.5</c:v>
                </c:pt>
                <c:pt idx="234">
                  <c:v>4.4000000000000004</c:v>
                </c:pt>
                <c:pt idx="235">
                  <c:v>4.0999999999999996</c:v>
                </c:pt>
                <c:pt idx="236">
                  <c:v>2.9</c:v>
                </c:pt>
                <c:pt idx="237">
                  <c:v>2.5</c:v>
                </c:pt>
                <c:pt idx="238">
                  <c:v>4.2</c:v>
                </c:pt>
                <c:pt idx="239">
                  <c:v>3.9</c:v>
                </c:pt>
                <c:pt idx="240">
                  <c:v>4.3</c:v>
                </c:pt>
                <c:pt idx="241">
                  <c:v>2.7</c:v>
                </c:pt>
                <c:pt idx="242">
                  <c:v>3.9</c:v>
                </c:pt>
                <c:pt idx="243">
                  <c:v>3.4</c:v>
                </c:pt>
                <c:pt idx="244">
                  <c:v>3.8</c:v>
                </c:pt>
                <c:pt idx="245">
                  <c:v>3.6</c:v>
                </c:pt>
                <c:pt idx="246">
                  <c:v>3.3</c:v>
                </c:pt>
                <c:pt idx="247">
                  <c:v>3.4</c:v>
                </c:pt>
                <c:pt idx="248">
                  <c:v>3</c:v>
                </c:pt>
                <c:pt idx="249">
                  <c:v>4</c:v>
                </c:pt>
                <c:pt idx="250">
                  <c:v>3.7</c:v>
                </c:pt>
                <c:pt idx="251">
                  <c:v>4.4000000000000004</c:v>
                </c:pt>
                <c:pt idx="252">
                  <c:v>4.3</c:v>
                </c:pt>
                <c:pt idx="253">
                  <c:v>4</c:v>
                </c:pt>
                <c:pt idx="254">
                  <c:v>4</c:v>
                </c:pt>
                <c:pt idx="255">
                  <c:v>3.2</c:v>
                </c:pt>
                <c:pt idx="256">
                  <c:v>4.2</c:v>
                </c:pt>
                <c:pt idx="257">
                  <c:v>3.9</c:v>
                </c:pt>
                <c:pt idx="258">
                  <c:v>3.7</c:v>
                </c:pt>
                <c:pt idx="259">
                  <c:v>3.6</c:v>
                </c:pt>
                <c:pt idx="260">
                  <c:v>3.7</c:v>
                </c:pt>
                <c:pt idx="261">
                  <c:v>2.8</c:v>
                </c:pt>
                <c:pt idx="262">
                  <c:v>4.2</c:v>
                </c:pt>
                <c:pt idx="263">
                  <c:v>4</c:v>
                </c:pt>
                <c:pt idx="264">
                  <c:v>3.5</c:v>
                </c:pt>
                <c:pt idx="265">
                  <c:v>3.2</c:v>
                </c:pt>
                <c:pt idx="266">
                  <c:v>3.3</c:v>
                </c:pt>
                <c:pt idx="267">
                  <c:v>3.9</c:v>
                </c:pt>
                <c:pt idx="268">
                  <c:v>3.7</c:v>
                </c:pt>
                <c:pt idx="269">
                  <c:v>3.6</c:v>
                </c:pt>
                <c:pt idx="270">
                  <c:v>3.4</c:v>
                </c:pt>
                <c:pt idx="271">
                  <c:v>3.5</c:v>
                </c:pt>
                <c:pt idx="272">
                  <c:v>4.3</c:v>
                </c:pt>
                <c:pt idx="273">
                  <c:v>4.0999999999999996</c:v>
                </c:pt>
                <c:pt idx="274">
                  <c:v>2.6</c:v>
                </c:pt>
                <c:pt idx="275">
                  <c:v>3.6</c:v>
                </c:pt>
                <c:pt idx="276">
                  <c:v>3.5</c:v>
                </c:pt>
                <c:pt idx="277">
                  <c:v>3.6</c:v>
                </c:pt>
                <c:pt idx="278">
                  <c:v>2.2999999999999998</c:v>
                </c:pt>
                <c:pt idx="279">
                  <c:v>3.9</c:v>
                </c:pt>
                <c:pt idx="280">
                  <c:v>4</c:v>
                </c:pt>
                <c:pt idx="281">
                  <c:v>4.0999999999999996</c:v>
                </c:pt>
                <c:pt idx="282">
                  <c:v>3.2</c:v>
                </c:pt>
                <c:pt idx="283">
                  <c:v>4.7</c:v>
                </c:pt>
                <c:pt idx="284">
                  <c:v>4.2</c:v>
                </c:pt>
                <c:pt idx="285">
                  <c:v>4.5999999999999996</c:v>
                </c:pt>
                <c:pt idx="286">
                  <c:v>3.7</c:v>
                </c:pt>
                <c:pt idx="287">
                  <c:v>3.7</c:v>
                </c:pt>
                <c:pt idx="288">
                  <c:v>4.4000000000000004</c:v>
                </c:pt>
                <c:pt idx="289">
                  <c:v>3.7</c:v>
                </c:pt>
                <c:pt idx="290">
                  <c:v>3.9</c:v>
                </c:pt>
                <c:pt idx="291">
                  <c:v>3.6</c:v>
                </c:pt>
                <c:pt idx="292">
                  <c:v>3</c:v>
                </c:pt>
                <c:pt idx="293">
                  <c:v>3.4</c:v>
                </c:pt>
                <c:pt idx="294">
                  <c:v>4.0999999999999996</c:v>
                </c:pt>
                <c:pt idx="295">
                  <c:v>3.8</c:v>
                </c:pt>
                <c:pt idx="296">
                  <c:v>4</c:v>
                </c:pt>
                <c:pt idx="297">
                  <c:v>3.9</c:v>
                </c:pt>
                <c:pt idx="298">
                  <c:v>4.4000000000000004</c:v>
                </c:pt>
                <c:pt idx="299">
                  <c:v>3.8</c:v>
                </c:pt>
                <c:pt idx="300">
                  <c:v>3.8</c:v>
                </c:pt>
                <c:pt idx="301">
                  <c:v>2.2000000000000002</c:v>
                </c:pt>
                <c:pt idx="302">
                  <c:v>2.9</c:v>
                </c:pt>
                <c:pt idx="303">
                  <c:v>4.0999999999999996</c:v>
                </c:pt>
                <c:pt idx="304">
                  <c:v>3.7</c:v>
                </c:pt>
                <c:pt idx="305">
                  <c:v>3.8</c:v>
                </c:pt>
                <c:pt idx="306">
                  <c:v>3.6</c:v>
                </c:pt>
                <c:pt idx="307">
                  <c:v>4.7</c:v>
                </c:pt>
                <c:pt idx="308">
                  <c:v>3.5</c:v>
                </c:pt>
                <c:pt idx="309">
                  <c:v>3.3</c:v>
                </c:pt>
                <c:pt idx="310">
                  <c:v>4.4000000000000004</c:v>
                </c:pt>
                <c:pt idx="311">
                  <c:v>3.3</c:v>
                </c:pt>
                <c:pt idx="312">
                  <c:v>3.4</c:v>
                </c:pt>
                <c:pt idx="313">
                  <c:v>4</c:v>
                </c:pt>
                <c:pt idx="314">
                  <c:v>4.4000000000000004</c:v>
                </c:pt>
                <c:pt idx="315">
                  <c:v>3.8</c:v>
                </c:pt>
                <c:pt idx="316">
                  <c:v>3.5</c:v>
                </c:pt>
                <c:pt idx="317">
                  <c:v>3.5</c:v>
                </c:pt>
                <c:pt idx="318">
                  <c:v>2.9</c:v>
                </c:pt>
                <c:pt idx="319">
                  <c:v>3.9</c:v>
                </c:pt>
                <c:pt idx="320">
                  <c:v>3.3</c:v>
                </c:pt>
                <c:pt idx="321">
                  <c:v>3.7</c:v>
                </c:pt>
                <c:pt idx="322">
                  <c:v>3.6</c:v>
                </c:pt>
                <c:pt idx="323">
                  <c:v>3.5</c:v>
                </c:pt>
                <c:pt idx="324">
                  <c:v>4.7</c:v>
                </c:pt>
                <c:pt idx="325">
                  <c:v>3.9</c:v>
                </c:pt>
                <c:pt idx="326">
                  <c:v>3.7</c:v>
                </c:pt>
                <c:pt idx="327">
                  <c:v>4.0999999999999996</c:v>
                </c:pt>
                <c:pt idx="328">
                  <c:v>3.1</c:v>
                </c:pt>
                <c:pt idx="329">
                  <c:v>3.6</c:v>
                </c:pt>
                <c:pt idx="330">
                  <c:v>3</c:v>
                </c:pt>
                <c:pt idx="331">
                  <c:v>3.5</c:v>
                </c:pt>
                <c:pt idx="332">
                  <c:v>3.6</c:v>
                </c:pt>
                <c:pt idx="333">
                  <c:v>3.5</c:v>
                </c:pt>
                <c:pt idx="334">
                  <c:v>4</c:v>
                </c:pt>
                <c:pt idx="335">
                  <c:v>3.7</c:v>
                </c:pt>
                <c:pt idx="336">
                  <c:v>2.4</c:v>
                </c:pt>
                <c:pt idx="337">
                  <c:v>3.2</c:v>
                </c:pt>
                <c:pt idx="338">
                  <c:v>2.1</c:v>
                </c:pt>
                <c:pt idx="339">
                  <c:v>3.7</c:v>
                </c:pt>
                <c:pt idx="340">
                  <c:v>2.6</c:v>
                </c:pt>
                <c:pt idx="341">
                  <c:v>4.4000000000000004</c:v>
                </c:pt>
                <c:pt idx="342">
                  <c:v>3.7</c:v>
                </c:pt>
                <c:pt idx="343">
                  <c:v>3.5</c:v>
                </c:pt>
                <c:pt idx="344">
                  <c:v>3</c:v>
                </c:pt>
                <c:pt idx="345">
                  <c:v>4.2</c:v>
                </c:pt>
                <c:pt idx="346">
                  <c:v>3.9</c:v>
                </c:pt>
                <c:pt idx="347">
                  <c:v>4</c:v>
                </c:pt>
                <c:pt idx="348">
                  <c:v>3.3</c:v>
                </c:pt>
                <c:pt idx="349">
                  <c:v>4.4000000000000004</c:v>
                </c:pt>
                <c:pt idx="350">
                  <c:v>3.4</c:v>
                </c:pt>
                <c:pt idx="351">
                  <c:v>3.3</c:v>
                </c:pt>
                <c:pt idx="352">
                  <c:v>2.9</c:v>
                </c:pt>
                <c:pt idx="353">
                  <c:v>2.7</c:v>
                </c:pt>
                <c:pt idx="354">
                  <c:v>3.6</c:v>
                </c:pt>
                <c:pt idx="355">
                  <c:v>3.1</c:v>
                </c:pt>
                <c:pt idx="356">
                  <c:v>3.3</c:v>
                </c:pt>
                <c:pt idx="357">
                  <c:v>4.5</c:v>
                </c:pt>
                <c:pt idx="358">
                  <c:v>3.9</c:v>
                </c:pt>
                <c:pt idx="359">
                  <c:v>3.2</c:v>
                </c:pt>
                <c:pt idx="360">
                  <c:v>3.3</c:v>
                </c:pt>
                <c:pt idx="361">
                  <c:v>3.1</c:v>
                </c:pt>
                <c:pt idx="362">
                  <c:v>2.4</c:v>
                </c:pt>
                <c:pt idx="363">
                  <c:v>4.8</c:v>
                </c:pt>
                <c:pt idx="364">
                  <c:v>2.9</c:v>
                </c:pt>
                <c:pt idx="365">
                  <c:v>2.9</c:v>
                </c:pt>
                <c:pt idx="366">
                  <c:v>3.4</c:v>
                </c:pt>
                <c:pt idx="367">
                  <c:v>2.6</c:v>
                </c:pt>
                <c:pt idx="368">
                  <c:v>3.8</c:v>
                </c:pt>
                <c:pt idx="369">
                  <c:v>5</c:v>
                </c:pt>
                <c:pt idx="370">
                  <c:v>3.6</c:v>
                </c:pt>
                <c:pt idx="371">
                  <c:v>4</c:v>
                </c:pt>
                <c:pt idx="372">
                  <c:v>3.8</c:v>
                </c:pt>
                <c:pt idx="373">
                  <c:v>3.9</c:v>
                </c:pt>
                <c:pt idx="374">
                  <c:v>3.8</c:v>
                </c:pt>
                <c:pt idx="375">
                  <c:v>4.3</c:v>
                </c:pt>
                <c:pt idx="376">
                  <c:v>1.9</c:v>
                </c:pt>
                <c:pt idx="377">
                  <c:v>3.3</c:v>
                </c:pt>
                <c:pt idx="378">
                  <c:v>4.7</c:v>
                </c:pt>
                <c:pt idx="379">
                  <c:v>3.1</c:v>
                </c:pt>
                <c:pt idx="380">
                  <c:v>3.4</c:v>
                </c:pt>
                <c:pt idx="381">
                  <c:v>4.4000000000000004</c:v>
                </c:pt>
                <c:pt idx="382">
                  <c:v>3.9</c:v>
                </c:pt>
                <c:pt idx="383">
                  <c:v>3.9</c:v>
                </c:pt>
                <c:pt idx="384">
                  <c:v>4.7</c:v>
                </c:pt>
                <c:pt idx="385">
                  <c:v>4.7</c:v>
                </c:pt>
                <c:pt idx="386">
                  <c:v>3.4</c:v>
                </c:pt>
                <c:pt idx="387">
                  <c:v>3.8</c:v>
                </c:pt>
                <c:pt idx="388">
                  <c:v>2.7</c:v>
                </c:pt>
                <c:pt idx="389">
                  <c:v>3.1</c:v>
                </c:pt>
                <c:pt idx="390">
                  <c:v>3.4</c:v>
                </c:pt>
                <c:pt idx="391">
                  <c:v>4</c:v>
                </c:pt>
                <c:pt idx="392">
                  <c:v>3.5</c:v>
                </c:pt>
                <c:pt idx="393">
                  <c:v>3.4</c:v>
                </c:pt>
                <c:pt idx="394">
                  <c:v>3.7</c:v>
                </c:pt>
                <c:pt idx="395">
                  <c:v>4.3</c:v>
                </c:pt>
                <c:pt idx="396">
                  <c:v>3.7</c:v>
                </c:pt>
                <c:pt idx="397">
                  <c:v>3.8</c:v>
                </c:pt>
                <c:pt idx="398">
                  <c:v>4.5999999999999996</c:v>
                </c:pt>
                <c:pt idx="399">
                  <c:v>4.4000000000000004</c:v>
                </c:pt>
                <c:pt idx="400">
                  <c:v>3</c:v>
                </c:pt>
                <c:pt idx="401">
                  <c:v>4.7</c:v>
                </c:pt>
                <c:pt idx="402">
                  <c:v>3.8</c:v>
                </c:pt>
                <c:pt idx="403">
                  <c:v>3.2</c:v>
                </c:pt>
                <c:pt idx="404">
                  <c:v>2.7</c:v>
                </c:pt>
                <c:pt idx="405">
                  <c:v>3.3</c:v>
                </c:pt>
                <c:pt idx="406">
                  <c:v>3.9</c:v>
                </c:pt>
                <c:pt idx="407">
                  <c:v>3.7</c:v>
                </c:pt>
                <c:pt idx="408">
                  <c:v>3.1</c:v>
                </c:pt>
                <c:pt idx="409">
                  <c:v>3.7</c:v>
                </c:pt>
                <c:pt idx="410">
                  <c:v>4.3</c:v>
                </c:pt>
                <c:pt idx="411">
                  <c:v>3.6</c:v>
                </c:pt>
                <c:pt idx="412">
                  <c:v>2.1</c:v>
                </c:pt>
                <c:pt idx="413">
                  <c:v>3.9</c:v>
                </c:pt>
                <c:pt idx="414">
                  <c:v>3.9</c:v>
                </c:pt>
                <c:pt idx="415">
                  <c:v>3.8</c:v>
                </c:pt>
                <c:pt idx="416">
                  <c:v>3.1</c:v>
                </c:pt>
                <c:pt idx="417">
                  <c:v>3.5</c:v>
                </c:pt>
                <c:pt idx="418">
                  <c:v>4.7</c:v>
                </c:pt>
                <c:pt idx="419">
                  <c:v>5</c:v>
                </c:pt>
                <c:pt idx="420">
                  <c:v>3.6</c:v>
                </c:pt>
                <c:pt idx="421">
                  <c:v>3.8</c:v>
                </c:pt>
                <c:pt idx="422">
                  <c:v>4.7</c:v>
                </c:pt>
                <c:pt idx="423">
                  <c:v>3.6</c:v>
                </c:pt>
                <c:pt idx="424">
                  <c:v>4.7</c:v>
                </c:pt>
                <c:pt idx="425">
                  <c:v>3.5</c:v>
                </c:pt>
                <c:pt idx="426">
                  <c:v>3.5</c:v>
                </c:pt>
                <c:pt idx="427">
                  <c:v>3.3</c:v>
                </c:pt>
                <c:pt idx="428">
                  <c:v>2.7</c:v>
                </c:pt>
                <c:pt idx="429">
                  <c:v>3.4</c:v>
                </c:pt>
                <c:pt idx="430">
                  <c:v>4.7</c:v>
                </c:pt>
                <c:pt idx="431">
                  <c:v>2.8</c:v>
                </c:pt>
                <c:pt idx="432">
                  <c:v>3.5</c:v>
                </c:pt>
                <c:pt idx="433">
                  <c:v>3.2</c:v>
                </c:pt>
                <c:pt idx="434">
                  <c:v>4.4000000000000004</c:v>
                </c:pt>
                <c:pt idx="435">
                  <c:v>3.3</c:v>
                </c:pt>
                <c:pt idx="436">
                  <c:v>4</c:v>
                </c:pt>
                <c:pt idx="437">
                  <c:v>3.4</c:v>
                </c:pt>
                <c:pt idx="438">
                  <c:v>3.8</c:v>
                </c:pt>
                <c:pt idx="439">
                  <c:v>3.5</c:v>
                </c:pt>
                <c:pt idx="440">
                  <c:v>4.4000000000000004</c:v>
                </c:pt>
                <c:pt idx="441">
                  <c:v>3.7</c:v>
                </c:pt>
                <c:pt idx="442">
                  <c:v>4.7</c:v>
                </c:pt>
                <c:pt idx="443">
                  <c:v>4.0999999999999996</c:v>
                </c:pt>
                <c:pt idx="444">
                  <c:v>4</c:v>
                </c:pt>
                <c:pt idx="445">
                  <c:v>3.5</c:v>
                </c:pt>
                <c:pt idx="446">
                  <c:v>2.5</c:v>
                </c:pt>
                <c:pt idx="447">
                  <c:v>3.9</c:v>
                </c:pt>
                <c:pt idx="448">
                  <c:v>3.4</c:v>
                </c:pt>
                <c:pt idx="449">
                  <c:v>3.6</c:v>
                </c:pt>
                <c:pt idx="450">
                  <c:v>3.5</c:v>
                </c:pt>
                <c:pt idx="451">
                  <c:v>2.9</c:v>
                </c:pt>
                <c:pt idx="452">
                  <c:v>3.5</c:v>
                </c:pt>
                <c:pt idx="453">
                  <c:v>4.8</c:v>
                </c:pt>
                <c:pt idx="454">
                  <c:v>4</c:v>
                </c:pt>
                <c:pt idx="455">
                  <c:v>4.2</c:v>
                </c:pt>
                <c:pt idx="456">
                  <c:v>3.8</c:v>
                </c:pt>
                <c:pt idx="457">
                  <c:v>3.7</c:v>
                </c:pt>
                <c:pt idx="458">
                  <c:v>3.9</c:v>
                </c:pt>
                <c:pt idx="459">
                  <c:v>4.5999999999999996</c:v>
                </c:pt>
                <c:pt idx="460">
                  <c:v>4.3</c:v>
                </c:pt>
                <c:pt idx="461">
                  <c:v>3.3</c:v>
                </c:pt>
                <c:pt idx="462">
                  <c:v>3.7</c:v>
                </c:pt>
                <c:pt idx="463">
                  <c:v>4</c:v>
                </c:pt>
                <c:pt idx="464">
                  <c:v>3.6</c:v>
                </c:pt>
                <c:pt idx="465">
                  <c:v>3.9</c:v>
                </c:pt>
                <c:pt idx="466">
                  <c:v>3.7</c:v>
                </c:pt>
                <c:pt idx="467">
                  <c:v>3.7</c:v>
                </c:pt>
                <c:pt idx="468">
                  <c:v>3.9</c:v>
                </c:pt>
                <c:pt idx="469">
                  <c:v>3.7</c:v>
                </c:pt>
                <c:pt idx="470">
                  <c:v>4.0999999999999996</c:v>
                </c:pt>
                <c:pt idx="471">
                  <c:v>3.1</c:v>
                </c:pt>
                <c:pt idx="472">
                  <c:v>3.1</c:v>
                </c:pt>
                <c:pt idx="473">
                  <c:v>3</c:v>
                </c:pt>
                <c:pt idx="474">
                  <c:v>3.6</c:v>
                </c:pt>
                <c:pt idx="475">
                  <c:v>3.6</c:v>
                </c:pt>
                <c:pt idx="476">
                  <c:v>3.5</c:v>
                </c:pt>
                <c:pt idx="477">
                  <c:v>4.2</c:v>
                </c:pt>
                <c:pt idx="478">
                  <c:v>4</c:v>
                </c:pt>
                <c:pt idx="479">
                  <c:v>3.9</c:v>
                </c:pt>
                <c:pt idx="480">
                  <c:v>3.7</c:v>
                </c:pt>
                <c:pt idx="481">
                  <c:v>4.4000000000000004</c:v>
                </c:pt>
                <c:pt idx="482">
                  <c:v>3.5</c:v>
                </c:pt>
                <c:pt idx="483">
                  <c:v>3.7</c:v>
                </c:pt>
                <c:pt idx="484">
                  <c:v>3.6</c:v>
                </c:pt>
                <c:pt idx="485">
                  <c:v>3.4</c:v>
                </c:pt>
                <c:pt idx="486">
                  <c:v>4</c:v>
                </c:pt>
                <c:pt idx="487">
                  <c:v>2.4</c:v>
                </c:pt>
                <c:pt idx="488">
                  <c:v>3.7</c:v>
                </c:pt>
                <c:pt idx="489">
                  <c:v>3.5</c:v>
                </c:pt>
                <c:pt idx="490">
                  <c:v>4.4000000000000004</c:v>
                </c:pt>
                <c:pt idx="491">
                  <c:v>3.3</c:v>
                </c:pt>
                <c:pt idx="492">
                  <c:v>3.9</c:v>
                </c:pt>
                <c:pt idx="493">
                  <c:v>3.2</c:v>
                </c:pt>
                <c:pt idx="494">
                  <c:v>3.2</c:v>
                </c:pt>
                <c:pt idx="495">
                  <c:v>2.1</c:v>
                </c:pt>
                <c:pt idx="496">
                  <c:v>4</c:v>
                </c:pt>
                <c:pt idx="497">
                  <c:v>3.7</c:v>
                </c:pt>
                <c:pt idx="498">
                  <c:v>2.6</c:v>
                </c:pt>
                <c:pt idx="499">
                  <c:v>3.4</c:v>
                </c:pt>
                <c:pt idx="500">
                  <c:v>4.4000000000000004</c:v>
                </c:pt>
                <c:pt idx="501">
                  <c:v>3.2</c:v>
                </c:pt>
                <c:pt idx="502">
                  <c:v>3.5</c:v>
                </c:pt>
                <c:pt idx="503">
                  <c:v>3.7</c:v>
                </c:pt>
                <c:pt idx="504">
                  <c:v>4.2</c:v>
                </c:pt>
                <c:pt idx="505">
                  <c:v>4.2</c:v>
                </c:pt>
                <c:pt idx="506">
                  <c:v>3.1</c:v>
                </c:pt>
                <c:pt idx="507">
                  <c:v>3.9</c:v>
                </c:pt>
                <c:pt idx="508">
                  <c:v>4.3</c:v>
                </c:pt>
                <c:pt idx="509">
                  <c:v>3.3</c:v>
                </c:pt>
                <c:pt idx="510">
                  <c:v>3.9</c:v>
                </c:pt>
                <c:pt idx="511">
                  <c:v>3.5</c:v>
                </c:pt>
                <c:pt idx="512">
                  <c:v>4</c:v>
                </c:pt>
                <c:pt idx="513">
                  <c:v>3.9</c:v>
                </c:pt>
                <c:pt idx="514">
                  <c:v>3</c:v>
                </c:pt>
                <c:pt idx="515">
                  <c:v>3.7</c:v>
                </c:pt>
                <c:pt idx="516">
                  <c:v>3.5</c:v>
                </c:pt>
                <c:pt idx="517">
                  <c:v>4</c:v>
                </c:pt>
                <c:pt idx="518">
                  <c:v>3.3</c:v>
                </c:pt>
                <c:pt idx="519">
                  <c:v>3.2</c:v>
                </c:pt>
                <c:pt idx="520">
                  <c:v>3.4</c:v>
                </c:pt>
                <c:pt idx="521">
                  <c:v>4.4000000000000004</c:v>
                </c:pt>
                <c:pt idx="522">
                  <c:v>3.3</c:v>
                </c:pt>
                <c:pt idx="523">
                  <c:v>3.2</c:v>
                </c:pt>
                <c:pt idx="524">
                  <c:v>3.8</c:v>
                </c:pt>
                <c:pt idx="525">
                  <c:v>2.9</c:v>
                </c:pt>
                <c:pt idx="526">
                  <c:v>2.7</c:v>
                </c:pt>
                <c:pt idx="527">
                  <c:v>3.6</c:v>
                </c:pt>
                <c:pt idx="528">
                  <c:v>3.1</c:v>
                </c:pt>
                <c:pt idx="529">
                  <c:v>3.3</c:v>
                </c:pt>
                <c:pt idx="530">
                  <c:v>3.7</c:v>
                </c:pt>
                <c:pt idx="531">
                  <c:v>4.5</c:v>
                </c:pt>
                <c:pt idx="532">
                  <c:v>3</c:v>
                </c:pt>
                <c:pt idx="533">
                  <c:v>3.8</c:v>
                </c:pt>
                <c:pt idx="534">
                  <c:v>3.9</c:v>
                </c:pt>
                <c:pt idx="535">
                  <c:v>3.2</c:v>
                </c:pt>
                <c:pt idx="536">
                  <c:v>3.3</c:v>
                </c:pt>
                <c:pt idx="537">
                  <c:v>3.1</c:v>
                </c:pt>
                <c:pt idx="538">
                  <c:v>2.4</c:v>
                </c:pt>
                <c:pt idx="539">
                  <c:v>2.9</c:v>
                </c:pt>
                <c:pt idx="540">
                  <c:v>4.8</c:v>
                </c:pt>
                <c:pt idx="541">
                  <c:v>2.9</c:v>
                </c:pt>
                <c:pt idx="542">
                  <c:v>4.7</c:v>
                </c:pt>
                <c:pt idx="543">
                  <c:v>4.7</c:v>
                </c:pt>
                <c:pt idx="544">
                  <c:v>3.4</c:v>
                </c:pt>
                <c:pt idx="545">
                  <c:v>3.9</c:v>
                </c:pt>
                <c:pt idx="546">
                  <c:v>3.6</c:v>
                </c:pt>
                <c:pt idx="547">
                  <c:v>3.6</c:v>
                </c:pt>
                <c:pt idx="548">
                  <c:v>3.9</c:v>
                </c:pt>
                <c:pt idx="549">
                  <c:v>4.4000000000000004</c:v>
                </c:pt>
                <c:pt idx="550">
                  <c:v>2.6</c:v>
                </c:pt>
                <c:pt idx="551">
                  <c:v>3.6</c:v>
                </c:pt>
                <c:pt idx="552">
                  <c:v>3.2</c:v>
                </c:pt>
                <c:pt idx="553">
                  <c:v>4.2</c:v>
                </c:pt>
                <c:pt idx="554">
                  <c:v>3.6</c:v>
                </c:pt>
                <c:pt idx="555">
                  <c:v>3.1</c:v>
                </c:pt>
                <c:pt idx="556">
                  <c:v>3.8</c:v>
                </c:pt>
                <c:pt idx="557">
                  <c:v>3.8</c:v>
                </c:pt>
                <c:pt idx="558">
                  <c:v>4</c:v>
                </c:pt>
                <c:pt idx="559">
                  <c:v>3.8</c:v>
                </c:pt>
                <c:pt idx="560">
                  <c:v>4</c:v>
                </c:pt>
                <c:pt idx="561">
                  <c:v>1.9</c:v>
                </c:pt>
                <c:pt idx="562">
                  <c:v>4</c:v>
                </c:pt>
                <c:pt idx="563">
                  <c:v>4.3</c:v>
                </c:pt>
                <c:pt idx="564">
                  <c:v>3.6</c:v>
                </c:pt>
                <c:pt idx="565">
                  <c:v>3.3</c:v>
                </c:pt>
                <c:pt idx="566">
                  <c:v>3.8</c:v>
                </c:pt>
                <c:pt idx="567">
                  <c:v>4.3</c:v>
                </c:pt>
                <c:pt idx="568">
                  <c:v>3.2</c:v>
                </c:pt>
                <c:pt idx="569">
                  <c:v>4.7</c:v>
                </c:pt>
                <c:pt idx="570">
                  <c:v>3.4</c:v>
                </c:pt>
                <c:pt idx="571">
                  <c:v>3.8</c:v>
                </c:pt>
                <c:pt idx="572">
                  <c:v>4.5</c:v>
                </c:pt>
                <c:pt idx="573">
                  <c:v>3.1</c:v>
                </c:pt>
                <c:pt idx="574">
                  <c:v>3.9</c:v>
                </c:pt>
                <c:pt idx="575">
                  <c:v>4.4000000000000004</c:v>
                </c:pt>
                <c:pt idx="576">
                  <c:v>3.4</c:v>
                </c:pt>
                <c:pt idx="577">
                  <c:v>3.9</c:v>
                </c:pt>
                <c:pt idx="578">
                  <c:v>4.7</c:v>
                </c:pt>
                <c:pt idx="579">
                  <c:v>3.3</c:v>
                </c:pt>
                <c:pt idx="580">
                  <c:v>3.9</c:v>
                </c:pt>
                <c:pt idx="581">
                  <c:v>3.4</c:v>
                </c:pt>
                <c:pt idx="582">
                  <c:v>4.7</c:v>
                </c:pt>
                <c:pt idx="583">
                  <c:v>2.7</c:v>
                </c:pt>
                <c:pt idx="584">
                  <c:v>3.8</c:v>
                </c:pt>
                <c:pt idx="585">
                  <c:v>3.4</c:v>
                </c:pt>
                <c:pt idx="586">
                  <c:v>3.8</c:v>
                </c:pt>
                <c:pt idx="587">
                  <c:v>3.9</c:v>
                </c:pt>
                <c:pt idx="588">
                  <c:v>3.1</c:v>
                </c:pt>
                <c:pt idx="589">
                  <c:v>4.0999999999999996</c:v>
                </c:pt>
                <c:pt idx="590">
                  <c:v>3.7</c:v>
                </c:pt>
                <c:pt idx="591">
                  <c:v>2.8</c:v>
                </c:pt>
                <c:pt idx="592">
                  <c:v>4</c:v>
                </c:pt>
                <c:pt idx="593">
                  <c:v>3.5</c:v>
                </c:pt>
                <c:pt idx="594">
                  <c:v>3.4</c:v>
                </c:pt>
                <c:pt idx="595">
                  <c:v>3.7</c:v>
                </c:pt>
                <c:pt idx="596">
                  <c:v>3</c:v>
                </c:pt>
                <c:pt idx="597">
                  <c:v>3.8</c:v>
                </c:pt>
                <c:pt idx="598">
                  <c:v>4.5999999999999996</c:v>
                </c:pt>
                <c:pt idx="599">
                  <c:v>4.4000000000000004</c:v>
                </c:pt>
                <c:pt idx="600">
                  <c:v>4</c:v>
                </c:pt>
                <c:pt idx="601">
                  <c:v>3</c:v>
                </c:pt>
                <c:pt idx="602">
                  <c:v>3</c:v>
                </c:pt>
                <c:pt idx="603">
                  <c:v>4.7</c:v>
                </c:pt>
                <c:pt idx="604">
                  <c:v>4.2</c:v>
                </c:pt>
                <c:pt idx="605">
                  <c:v>3.8</c:v>
                </c:pt>
                <c:pt idx="606">
                  <c:v>3.5</c:v>
                </c:pt>
                <c:pt idx="607">
                  <c:v>3.3</c:v>
                </c:pt>
                <c:pt idx="608">
                  <c:v>3.2</c:v>
                </c:pt>
                <c:pt idx="609">
                  <c:v>2.7</c:v>
                </c:pt>
                <c:pt idx="610">
                  <c:v>3.3</c:v>
                </c:pt>
                <c:pt idx="611">
                  <c:v>3.7</c:v>
                </c:pt>
                <c:pt idx="612">
                  <c:v>3.9</c:v>
                </c:pt>
                <c:pt idx="613">
                  <c:v>3.1</c:v>
                </c:pt>
                <c:pt idx="614">
                  <c:v>3.7</c:v>
                </c:pt>
                <c:pt idx="615">
                  <c:v>4.3</c:v>
                </c:pt>
                <c:pt idx="616">
                  <c:v>3.8</c:v>
                </c:pt>
                <c:pt idx="617">
                  <c:v>3.9</c:v>
                </c:pt>
                <c:pt idx="618">
                  <c:v>3.6</c:v>
                </c:pt>
                <c:pt idx="619">
                  <c:v>3.7</c:v>
                </c:pt>
                <c:pt idx="620">
                  <c:v>2.1</c:v>
                </c:pt>
                <c:pt idx="621">
                  <c:v>3.9</c:v>
                </c:pt>
                <c:pt idx="622">
                  <c:v>3.9</c:v>
                </c:pt>
                <c:pt idx="623">
                  <c:v>3.2</c:v>
                </c:pt>
                <c:pt idx="624">
                  <c:v>4.5999999999999996</c:v>
                </c:pt>
                <c:pt idx="625">
                  <c:v>3.8</c:v>
                </c:pt>
                <c:pt idx="626">
                  <c:v>2.2000000000000002</c:v>
                </c:pt>
                <c:pt idx="627">
                  <c:v>3.1</c:v>
                </c:pt>
                <c:pt idx="628">
                  <c:v>4.5999999999999996</c:v>
                </c:pt>
                <c:pt idx="629">
                  <c:v>2.6</c:v>
                </c:pt>
                <c:pt idx="630">
                  <c:v>3.4</c:v>
                </c:pt>
                <c:pt idx="631">
                  <c:v>3.3</c:v>
                </c:pt>
                <c:pt idx="632">
                  <c:v>3.7</c:v>
                </c:pt>
                <c:pt idx="633">
                  <c:v>3.5</c:v>
                </c:pt>
                <c:pt idx="634">
                  <c:v>2.7</c:v>
                </c:pt>
                <c:pt idx="635">
                  <c:v>3.8</c:v>
                </c:pt>
                <c:pt idx="636">
                  <c:v>3.7</c:v>
                </c:pt>
                <c:pt idx="637">
                  <c:v>3.8</c:v>
                </c:pt>
                <c:pt idx="638">
                  <c:v>3.3</c:v>
                </c:pt>
                <c:pt idx="639">
                  <c:v>2.7</c:v>
                </c:pt>
                <c:pt idx="640">
                  <c:v>3.8</c:v>
                </c:pt>
                <c:pt idx="641">
                  <c:v>3.8</c:v>
                </c:pt>
                <c:pt idx="642">
                  <c:v>3</c:v>
                </c:pt>
                <c:pt idx="643">
                  <c:v>3.9</c:v>
                </c:pt>
                <c:pt idx="644">
                  <c:v>3.6</c:v>
                </c:pt>
                <c:pt idx="645">
                  <c:v>3.5</c:v>
                </c:pt>
                <c:pt idx="646">
                  <c:v>3.6</c:v>
                </c:pt>
                <c:pt idx="647">
                  <c:v>4.2</c:v>
                </c:pt>
                <c:pt idx="648">
                  <c:v>3.5</c:v>
                </c:pt>
                <c:pt idx="649">
                  <c:v>4</c:v>
                </c:pt>
                <c:pt idx="650">
                  <c:v>3.7</c:v>
                </c:pt>
                <c:pt idx="651">
                  <c:v>4.4000000000000004</c:v>
                </c:pt>
                <c:pt idx="652">
                  <c:v>3.5</c:v>
                </c:pt>
                <c:pt idx="653">
                  <c:v>3.6</c:v>
                </c:pt>
                <c:pt idx="654">
                  <c:v>3.7</c:v>
                </c:pt>
                <c:pt idx="655">
                  <c:v>3.4</c:v>
                </c:pt>
                <c:pt idx="656">
                  <c:v>4</c:v>
                </c:pt>
                <c:pt idx="657">
                  <c:v>3.7</c:v>
                </c:pt>
                <c:pt idx="658">
                  <c:v>2.4</c:v>
                </c:pt>
                <c:pt idx="659">
                  <c:v>3.5</c:v>
                </c:pt>
                <c:pt idx="660">
                  <c:v>3.9</c:v>
                </c:pt>
                <c:pt idx="661">
                  <c:v>3.2</c:v>
                </c:pt>
                <c:pt idx="662">
                  <c:v>4.4000000000000004</c:v>
                </c:pt>
                <c:pt idx="663">
                  <c:v>3.9</c:v>
                </c:pt>
                <c:pt idx="664">
                  <c:v>3.4</c:v>
                </c:pt>
                <c:pt idx="665">
                  <c:v>2.1</c:v>
                </c:pt>
                <c:pt idx="666">
                  <c:v>3.7</c:v>
                </c:pt>
                <c:pt idx="667">
                  <c:v>3.4</c:v>
                </c:pt>
                <c:pt idx="668">
                  <c:v>4</c:v>
                </c:pt>
                <c:pt idx="669">
                  <c:v>4.4000000000000004</c:v>
                </c:pt>
                <c:pt idx="670">
                  <c:v>2.6</c:v>
                </c:pt>
                <c:pt idx="671">
                  <c:v>3.2</c:v>
                </c:pt>
                <c:pt idx="672">
                  <c:v>3.7</c:v>
                </c:pt>
                <c:pt idx="673">
                  <c:v>4.2</c:v>
                </c:pt>
                <c:pt idx="674">
                  <c:v>3.5</c:v>
                </c:pt>
                <c:pt idx="675">
                  <c:v>4.3</c:v>
                </c:pt>
                <c:pt idx="676">
                  <c:v>2.6</c:v>
                </c:pt>
                <c:pt idx="677">
                  <c:v>4.2</c:v>
                </c:pt>
                <c:pt idx="678">
                  <c:v>3.1</c:v>
                </c:pt>
                <c:pt idx="679">
                  <c:v>3.8</c:v>
                </c:pt>
                <c:pt idx="680">
                  <c:v>3.9</c:v>
                </c:pt>
                <c:pt idx="681">
                  <c:v>4.3</c:v>
                </c:pt>
                <c:pt idx="682">
                  <c:v>3.2</c:v>
                </c:pt>
                <c:pt idx="683">
                  <c:v>5</c:v>
                </c:pt>
                <c:pt idx="684">
                  <c:v>3.3</c:v>
                </c:pt>
                <c:pt idx="685">
                  <c:v>4.3</c:v>
                </c:pt>
                <c:pt idx="686">
                  <c:v>3.5</c:v>
                </c:pt>
                <c:pt idx="687">
                  <c:v>3.9</c:v>
                </c:pt>
                <c:pt idx="688">
                  <c:v>4</c:v>
                </c:pt>
                <c:pt idx="689">
                  <c:v>3.9</c:v>
                </c:pt>
                <c:pt idx="690">
                  <c:v>3.4</c:v>
                </c:pt>
                <c:pt idx="691">
                  <c:v>3</c:v>
                </c:pt>
                <c:pt idx="692">
                  <c:v>3.9</c:v>
                </c:pt>
                <c:pt idx="693">
                  <c:v>4</c:v>
                </c:pt>
                <c:pt idx="694">
                  <c:v>3.3</c:v>
                </c:pt>
                <c:pt idx="695">
                  <c:v>3.2</c:v>
                </c:pt>
                <c:pt idx="696">
                  <c:v>3.4</c:v>
                </c:pt>
                <c:pt idx="697">
                  <c:v>4.4000000000000004</c:v>
                </c:pt>
                <c:pt idx="698">
                  <c:v>3.3</c:v>
                </c:pt>
                <c:pt idx="699">
                  <c:v>3.2</c:v>
                </c:pt>
                <c:pt idx="700">
                  <c:v>3.8</c:v>
                </c:pt>
                <c:pt idx="701">
                  <c:v>3.6</c:v>
                </c:pt>
                <c:pt idx="702">
                  <c:v>2.9</c:v>
                </c:pt>
                <c:pt idx="703">
                  <c:v>2.7</c:v>
                </c:pt>
                <c:pt idx="704">
                  <c:v>3.2</c:v>
                </c:pt>
                <c:pt idx="705">
                  <c:v>3.1</c:v>
                </c:pt>
                <c:pt idx="706">
                  <c:v>4</c:v>
                </c:pt>
                <c:pt idx="707">
                  <c:v>3.3</c:v>
                </c:pt>
                <c:pt idx="708">
                  <c:v>4.5</c:v>
                </c:pt>
                <c:pt idx="709">
                  <c:v>3</c:v>
                </c:pt>
                <c:pt idx="710">
                  <c:v>3.7</c:v>
                </c:pt>
                <c:pt idx="711">
                  <c:v>3.8</c:v>
                </c:pt>
                <c:pt idx="712">
                  <c:v>3.9</c:v>
                </c:pt>
                <c:pt idx="713">
                  <c:v>3.2</c:v>
                </c:pt>
                <c:pt idx="714">
                  <c:v>3.3</c:v>
                </c:pt>
                <c:pt idx="715">
                  <c:v>3.1</c:v>
                </c:pt>
                <c:pt idx="716">
                  <c:v>2.4</c:v>
                </c:pt>
                <c:pt idx="717">
                  <c:v>4.8</c:v>
                </c:pt>
                <c:pt idx="718">
                  <c:v>2.9</c:v>
                </c:pt>
                <c:pt idx="719">
                  <c:v>2.9</c:v>
                </c:pt>
                <c:pt idx="720">
                  <c:v>3.4</c:v>
                </c:pt>
                <c:pt idx="721">
                  <c:v>4.0999999999999996</c:v>
                </c:pt>
                <c:pt idx="722">
                  <c:v>3.9</c:v>
                </c:pt>
                <c:pt idx="723">
                  <c:v>3.6</c:v>
                </c:pt>
                <c:pt idx="724">
                  <c:v>3.9</c:v>
                </c:pt>
                <c:pt idx="725">
                  <c:v>3.6</c:v>
                </c:pt>
                <c:pt idx="726">
                  <c:v>3.9</c:v>
                </c:pt>
                <c:pt idx="727">
                  <c:v>4.4000000000000004</c:v>
                </c:pt>
                <c:pt idx="728">
                  <c:v>2.6</c:v>
                </c:pt>
                <c:pt idx="729">
                  <c:v>3.2</c:v>
                </c:pt>
                <c:pt idx="730">
                  <c:v>3.6</c:v>
                </c:pt>
              </c:numCache>
            </c:numRef>
          </c:xVal>
          <c:yVal>
            <c:numRef>
              <c:f>RatingScatter!$B$2:$B$743</c:f>
              <c:numCache>
                <c:formatCode>General</c:formatCode>
                <c:ptCount val="731"/>
                <c:pt idx="0">
                  <c:v>72</c:v>
                </c:pt>
                <c:pt idx="1">
                  <c:v>87.5</c:v>
                </c:pt>
                <c:pt idx="2">
                  <c:v>85</c:v>
                </c:pt>
                <c:pt idx="3">
                  <c:v>76.5</c:v>
                </c:pt>
                <c:pt idx="4">
                  <c:v>114.5</c:v>
                </c:pt>
                <c:pt idx="5">
                  <c:v>95</c:v>
                </c:pt>
                <c:pt idx="6">
                  <c:v>73.5</c:v>
                </c:pt>
                <c:pt idx="7">
                  <c:v>114</c:v>
                </c:pt>
                <c:pt idx="8">
                  <c:v>61</c:v>
                </c:pt>
                <c:pt idx="9">
                  <c:v>140</c:v>
                </c:pt>
                <c:pt idx="10">
                  <c:v>163.5</c:v>
                </c:pt>
                <c:pt idx="11">
                  <c:v>85</c:v>
                </c:pt>
                <c:pt idx="12">
                  <c:v>139</c:v>
                </c:pt>
                <c:pt idx="13">
                  <c:v>65.5</c:v>
                </c:pt>
                <c:pt idx="14">
                  <c:v>113.5</c:v>
                </c:pt>
                <c:pt idx="15">
                  <c:v>146</c:v>
                </c:pt>
                <c:pt idx="16">
                  <c:v>102</c:v>
                </c:pt>
                <c:pt idx="17">
                  <c:v>153.5</c:v>
                </c:pt>
                <c:pt idx="18">
                  <c:v>142.5</c:v>
                </c:pt>
                <c:pt idx="19">
                  <c:v>87.5</c:v>
                </c:pt>
                <c:pt idx="20">
                  <c:v>105.5</c:v>
                </c:pt>
                <c:pt idx="21">
                  <c:v>96</c:v>
                </c:pt>
                <c:pt idx="22">
                  <c:v>112.5</c:v>
                </c:pt>
                <c:pt idx="23">
                  <c:v>84</c:v>
                </c:pt>
                <c:pt idx="24">
                  <c:v>143</c:v>
                </c:pt>
                <c:pt idx="25">
                  <c:v>86.5</c:v>
                </c:pt>
                <c:pt idx="26">
                  <c:v>99.5</c:v>
                </c:pt>
                <c:pt idx="27">
                  <c:v>47.5</c:v>
                </c:pt>
                <c:pt idx="28">
                  <c:v>84</c:v>
                </c:pt>
                <c:pt idx="29">
                  <c:v>85</c:v>
                </c:pt>
                <c:pt idx="30">
                  <c:v>76.5</c:v>
                </c:pt>
                <c:pt idx="31">
                  <c:v>96</c:v>
                </c:pt>
                <c:pt idx="32">
                  <c:v>114.5</c:v>
                </c:pt>
                <c:pt idx="33">
                  <c:v>121</c:v>
                </c:pt>
                <c:pt idx="34">
                  <c:v>112.5</c:v>
                </c:pt>
                <c:pt idx="35">
                  <c:v>106</c:v>
                </c:pt>
                <c:pt idx="36">
                  <c:v>107</c:v>
                </c:pt>
                <c:pt idx="37">
                  <c:v>110</c:v>
                </c:pt>
                <c:pt idx="38">
                  <c:v>147.5</c:v>
                </c:pt>
                <c:pt idx="39">
                  <c:v>106</c:v>
                </c:pt>
                <c:pt idx="40">
                  <c:v>88</c:v>
                </c:pt>
                <c:pt idx="41">
                  <c:v>98.5</c:v>
                </c:pt>
                <c:pt idx="42">
                  <c:v>142.5</c:v>
                </c:pt>
                <c:pt idx="43">
                  <c:v>82.5</c:v>
                </c:pt>
                <c:pt idx="44">
                  <c:v>130</c:v>
                </c:pt>
                <c:pt idx="45">
                  <c:v>155</c:v>
                </c:pt>
                <c:pt idx="46">
                  <c:v>184.5</c:v>
                </c:pt>
                <c:pt idx="47">
                  <c:v>29.5</c:v>
                </c:pt>
                <c:pt idx="48">
                  <c:v>86.5</c:v>
                </c:pt>
                <c:pt idx="49">
                  <c:v>81</c:v>
                </c:pt>
                <c:pt idx="50">
                  <c:v>91</c:v>
                </c:pt>
                <c:pt idx="51">
                  <c:v>114.5</c:v>
                </c:pt>
                <c:pt idx="52">
                  <c:v>68</c:v>
                </c:pt>
                <c:pt idx="53">
                  <c:v>115</c:v>
                </c:pt>
                <c:pt idx="54">
                  <c:v>109.5</c:v>
                </c:pt>
                <c:pt idx="55">
                  <c:v>75.5</c:v>
                </c:pt>
                <c:pt idx="56">
                  <c:v>154.5</c:v>
                </c:pt>
                <c:pt idx="57">
                  <c:v>143.5</c:v>
                </c:pt>
                <c:pt idx="58">
                  <c:v>73.5</c:v>
                </c:pt>
                <c:pt idx="59">
                  <c:v>95</c:v>
                </c:pt>
                <c:pt idx="60">
                  <c:v>107</c:v>
                </c:pt>
                <c:pt idx="61">
                  <c:v>115</c:v>
                </c:pt>
                <c:pt idx="62">
                  <c:v>139.5</c:v>
                </c:pt>
                <c:pt idx="63">
                  <c:v>67</c:v>
                </c:pt>
                <c:pt idx="64">
                  <c:v>85</c:v>
                </c:pt>
                <c:pt idx="65">
                  <c:v>118</c:v>
                </c:pt>
                <c:pt idx="66">
                  <c:v>79.5</c:v>
                </c:pt>
                <c:pt idx="67">
                  <c:v>56.5</c:v>
                </c:pt>
                <c:pt idx="68">
                  <c:v>128.5</c:v>
                </c:pt>
                <c:pt idx="69">
                  <c:v>97.5</c:v>
                </c:pt>
                <c:pt idx="70">
                  <c:v>66.5</c:v>
                </c:pt>
                <c:pt idx="71">
                  <c:v>179.5</c:v>
                </c:pt>
                <c:pt idx="72">
                  <c:v>76</c:v>
                </c:pt>
                <c:pt idx="73">
                  <c:v>112</c:v>
                </c:pt>
                <c:pt idx="74">
                  <c:v>98</c:v>
                </c:pt>
                <c:pt idx="75">
                  <c:v>128</c:v>
                </c:pt>
                <c:pt idx="76">
                  <c:v>150.5</c:v>
                </c:pt>
                <c:pt idx="77">
                  <c:v>87.5</c:v>
                </c:pt>
                <c:pt idx="78">
                  <c:v>110</c:v>
                </c:pt>
                <c:pt idx="79">
                  <c:v>113.5</c:v>
                </c:pt>
                <c:pt idx="80">
                  <c:v>124</c:v>
                </c:pt>
                <c:pt idx="81">
                  <c:v>56.5</c:v>
                </c:pt>
                <c:pt idx="82">
                  <c:v>130</c:v>
                </c:pt>
                <c:pt idx="83">
                  <c:v>77.5</c:v>
                </c:pt>
                <c:pt idx="84">
                  <c:v>87</c:v>
                </c:pt>
                <c:pt idx="85">
                  <c:v>53.5</c:v>
                </c:pt>
                <c:pt idx="86">
                  <c:v>139</c:v>
                </c:pt>
                <c:pt idx="87">
                  <c:v>114</c:v>
                </c:pt>
                <c:pt idx="88">
                  <c:v>85.5</c:v>
                </c:pt>
                <c:pt idx="89">
                  <c:v>48</c:v>
                </c:pt>
                <c:pt idx="90">
                  <c:v>48</c:v>
                </c:pt>
                <c:pt idx="91">
                  <c:v>174</c:v>
                </c:pt>
                <c:pt idx="92">
                  <c:v>85</c:v>
                </c:pt>
                <c:pt idx="93">
                  <c:v>106.5</c:v>
                </c:pt>
                <c:pt idx="94">
                  <c:v>72.5</c:v>
                </c:pt>
                <c:pt idx="95">
                  <c:v>85.5</c:v>
                </c:pt>
                <c:pt idx="96">
                  <c:v>97.5</c:v>
                </c:pt>
                <c:pt idx="97">
                  <c:v>99</c:v>
                </c:pt>
                <c:pt idx="98">
                  <c:v>56.5</c:v>
                </c:pt>
                <c:pt idx="99">
                  <c:v>133</c:v>
                </c:pt>
                <c:pt idx="100">
                  <c:v>121</c:v>
                </c:pt>
                <c:pt idx="101">
                  <c:v>85.5</c:v>
                </c:pt>
                <c:pt idx="102">
                  <c:v>87.5</c:v>
                </c:pt>
                <c:pt idx="103">
                  <c:v>237.5</c:v>
                </c:pt>
                <c:pt idx="104">
                  <c:v>95.5</c:v>
                </c:pt>
                <c:pt idx="105">
                  <c:v>104.5</c:v>
                </c:pt>
                <c:pt idx="106">
                  <c:v>56.5</c:v>
                </c:pt>
                <c:pt idx="107">
                  <c:v>55</c:v>
                </c:pt>
                <c:pt idx="108">
                  <c:v>61.5</c:v>
                </c:pt>
                <c:pt idx="109">
                  <c:v>157</c:v>
                </c:pt>
                <c:pt idx="110">
                  <c:v>78</c:v>
                </c:pt>
                <c:pt idx="111">
                  <c:v>113.5</c:v>
                </c:pt>
                <c:pt idx="112">
                  <c:v>140</c:v>
                </c:pt>
                <c:pt idx="113">
                  <c:v>132.5</c:v>
                </c:pt>
                <c:pt idx="114">
                  <c:v>108</c:v>
                </c:pt>
                <c:pt idx="115">
                  <c:v>80.5</c:v>
                </c:pt>
                <c:pt idx="116">
                  <c:v>107.5</c:v>
                </c:pt>
                <c:pt idx="117">
                  <c:v>95</c:v>
                </c:pt>
                <c:pt idx="118">
                  <c:v>119.5</c:v>
                </c:pt>
                <c:pt idx="119">
                  <c:v>134</c:v>
                </c:pt>
                <c:pt idx="120">
                  <c:v>100.5</c:v>
                </c:pt>
                <c:pt idx="121">
                  <c:v>107.5</c:v>
                </c:pt>
                <c:pt idx="122">
                  <c:v>122</c:v>
                </c:pt>
                <c:pt idx="123">
                  <c:v>92.5</c:v>
                </c:pt>
                <c:pt idx="124">
                  <c:v>62</c:v>
                </c:pt>
                <c:pt idx="125">
                  <c:v>39.5</c:v>
                </c:pt>
                <c:pt idx="126">
                  <c:v>107.5</c:v>
                </c:pt>
                <c:pt idx="127">
                  <c:v>40.5</c:v>
                </c:pt>
                <c:pt idx="128">
                  <c:v>89.5</c:v>
                </c:pt>
                <c:pt idx="129">
                  <c:v>81</c:v>
                </c:pt>
                <c:pt idx="130">
                  <c:v>147</c:v>
                </c:pt>
                <c:pt idx="131">
                  <c:v>85</c:v>
                </c:pt>
                <c:pt idx="132">
                  <c:v>81.5</c:v>
                </c:pt>
                <c:pt idx="133">
                  <c:v>168</c:v>
                </c:pt>
                <c:pt idx="134">
                  <c:v>100.5</c:v>
                </c:pt>
                <c:pt idx="135">
                  <c:v>97</c:v>
                </c:pt>
                <c:pt idx="136">
                  <c:v>85</c:v>
                </c:pt>
                <c:pt idx="137">
                  <c:v>153.5</c:v>
                </c:pt>
                <c:pt idx="138">
                  <c:v>132.5</c:v>
                </c:pt>
                <c:pt idx="139">
                  <c:v>100</c:v>
                </c:pt>
                <c:pt idx="140">
                  <c:v>105</c:v>
                </c:pt>
                <c:pt idx="141">
                  <c:v>87</c:v>
                </c:pt>
                <c:pt idx="142">
                  <c:v>103.5</c:v>
                </c:pt>
                <c:pt idx="143">
                  <c:v>124</c:v>
                </c:pt>
                <c:pt idx="144">
                  <c:v>67</c:v>
                </c:pt>
                <c:pt idx="145">
                  <c:v>87</c:v>
                </c:pt>
                <c:pt idx="146">
                  <c:v>137.5</c:v>
                </c:pt>
                <c:pt idx="147">
                  <c:v>100</c:v>
                </c:pt>
                <c:pt idx="148">
                  <c:v>106.5</c:v>
                </c:pt>
                <c:pt idx="149">
                  <c:v>98.5</c:v>
                </c:pt>
                <c:pt idx="150">
                  <c:v>61</c:v>
                </c:pt>
                <c:pt idx="151">
                  <c:v>106.5</c:v>
                </c:pt>
                <c:pt idx="152">
                  <c:v>84.5</c:v>
                </c:pt>
                <c:pt idx="153">
                  <c:v>109.5</c:v>
                </c:pt>
                <c:pt idx="154">
                  <c:v>164</c:v>
                </c:pt>
                <c:pt idx="155">
                  <c:v>169</c:v>
                </c:pt>
                <c:pt idx="156">
                  <c:v>142</c:v>
                </c:pt>
                <c:pt idx="157">
                  <c:v>76.5</c:v>
                </c:pt>
                <c:pt idx="158">
                  <c:v>107</c:v>
                </c:pt>
                <c:pt idx="159">
                  <c:v>171.5</c:v>
                </c:pt>
                <c:pt idx="160">
                  <c:v>96</c:v>
                </c:pt>
                <c:pt idx="161">
                  <c:v>142.5</c:v>
                </c:pt>
                <c:pt idx="162">
                  <c:v>107</c:v>
                </c:pt>
                <c:pt idx="163">
                  <c:v>145</c:v>
                </c:pt>
                <c:pt idx="164">
                  <c:v>61.5</c:v>
                </c:pt>
                <c:pt idx="165">
                  <c:v>42</c:v>
                </c:pt>
                <c:pt idx="166">
                  <c:v>120</c:v>
                </c:pt>
                <c:pt idx="167">
                  <c:v>62</c:v>
                </c:pt>
                <c:pt idx="168">
                  <c:v>150.5</c:v>
                </c:pt>
                <c:pt idx="169">
                  <c:v>87.5</c:v>
                </c:pt>
                <c:pt idx="170">
                  <c:v>71.5</c:v>
                </c:pt>
                <c:pt idx="171">
                  <c:v>51.5</c:v>
                </c:pt>
                <c:pt idx="172">
                  <c:v>151.5</c:v>
                </c:pt>
                <c:pt idx="173">
                  <c:v>77.5</c:v>
                </c:pt>
                <c:pt idx="174">
                  <c:v>140</c:v>
                </c:pt>
                <c:pt idx="175">
                  <c:v>98.5</c:v>
                </c:pt>
                <c:pt idx="176">
                  <c:v>56.5</c:v>
                </c:pt>
                <c:pt idx="177">
                  <c:v>161.5</c:v>
                </c:pt>
                <c:pt idx="178">
                  <c:v>147</c:v>
                </c:pt>
                <c:pt idx="179">
                  <c:v>61</c:v>
                </c:pt>
                <c:pt idx="180">
                  <c:v>120</c:v>
                </c:pt>
                <c:pt idx="181">
                  <c:v>124.5</c:v>
                </c:pt>
                <c:pt idx="182">
                  <c:v>148</c:v>
                </c:pt>
                <c:pt idx="183">
                  <c:v>59</c:v>
                </c:pt>
                <c:pt idx="184">
                  <c:v>146.5</c:v>
                </c:pt>
                <c:pt idx="185">
                  <c:v>91.5</c:v>
                </c:pt>
                <c:pt idx="186">
                  <c:v>133</c:v>
                </c:pt>
                <c:pt idx="187">
                  <c:v>140.5</c:v>
                </c:pt>
                <c:pt idx="188">
                  <c:v>70.5</c:v>
                </c:pt>
                <c:pt idx="189">
                  <c:v>84.5</c:v>
                </c:pt>
                <c:pt idx="190">
                  <c:v>93.5</c:v>
                </c:pt>
                <c:pt idx="191">
                  <c:v>134.5</c:v>
                </c:pt>
                <c:pt idx="192">
                  <c:v>181</c:v>
                </c:pt>
                <c:pt idx="193">
                  <c:v>84.5</c:v>
                </c:pt>
                <c:pt idx="194">
                  <c:v>205</c:v>
                </c:pt>
                <c:pt idx="195">
                  <c:v>48.5</c:v>
                </c:pt>
                <c:pt idx="196">
                  <c:v>44.5</c:v>
                </c:pt>
                <c:pt idx="197">
                  <c:v>52.5</c:v>
                </c:pt>
                <c:pt idx="198">
                  <c:v>124</c:v>
                </c:pt>
                <c:pt idx="199">
                  <c:v>64</c:v>
                </c:pt>
                <c:pt idx="200">
                  <c:v>98</c:v>
                </c:pt>
                <c:pt idx="201">
                  <c:v>56.5</c:v>
                </c:pt>
                <c:pt idx="202">
                  <c:v>54</c:v>
                </c:pt>
                <c:pt idx="203">
                  <c:v>81</c:v>
                </c:pt>
                <c:pt idx="204">
                  <c:v>107.5</c:v>
                </c:pt>
                <c:pt idx="205">
                  <c:v>112.5</c:v>
                </c:pt>
                <c:pt idx="206">
                  <c:v>89</c:v>
                </c:pt>
                <c:pt idx="207">
                  <c:v>100.5</c:v>
                </c:pt>
                <c:pt idx="208">
                  <c:v>65</c:v>
                </c:pt>
                <c:pt idx="209">
                  <c:v>41.5</c:v>
                </c:pt>
                <c:pt idx="210">
                  <c:v>72.5</c:v>
                </c:pt>
                <c:pt idx="211">
                  <c:v>61</c:v>
                </c:pt>
                <c:pt idx="212">
                  <c:v>109.5</c:v>
                </c:pt>
                <c:pt idx="213">
                  <c:v>84.5</c:v>
                </c:pt>
                <c:pt idx="214">
                  <c:v>87.5</c:v>
                </c:pt>
                <c:pt idx="215">
                  <c:v>92.5</c:v>
                </c:pt>
                <c:pt idx="216">
                  <c:v>81.5</c:v>
                </c:pt>
                <c:pt idx="217">
                  <c:v>79</c:v>
                </c:pt>
                <c:pt idx="218">
                  <c:v>164</c:v>
                </c:pt>
                <c:pt idx="219">
                  <c:v>169</c:v>
                </c:pt>
                <c:pt idx="220">
                  <c:v>142</c:v>
                </c:pt>
                <c:pt idx="221">
                  <c:v>47.5</c:v>
                </c:pt>
                <c:pt idx="222">
                  <c:v>76.5</c:v>
                </c:pt>
                <c:pt idx="223">
                  <c:v>69</c:v>
                </c:pt>
                <c:pt idx="224">
                  <c:v>49</c:v>
                </c:pt>
                <c:pt idx="225">
                  <c:v>171.5</c:v>
                </c:pt>
                <c:pt idx="226">
                  <c:v>107</c:v>
                </c:pt>
                <c:pt idx="227">
                  <c:v>59</c:v>
                </c:pt>
                <c:pt idx="228">
                  <c:v>88.5</c:v>
                </c:pt>
                <c:pt idx="229">
                  <c:v>107</c:v>
                </c:pt>
                <c:pt idx="230">
                  <c:v>86.5</c:v>
                </c:pt>
                <c:pt idx="231">
                  <c:v>84</c:v>
                </c:pt>
                <c:pt idx="232">
                  <c:v>114.5</c:v>
                </c:pt>
                <c:pt idx="233">
                  <c:v>145</c:v>
                </c:pt>
                <c:pt idx="234">
                  <c:v>88</c:v>
                </c:pt>
                <c:pt idx="235">
                  <c:v>100</c:v>
                </c:pt>
                <c:pt idx="236">
                  <c:v>61.5</c:v>
                </c:pt>
                <c:pt idx="237">
                  <c:v>96.5</c:v>
                </c:pt>
                <c:pt idx="238">
                  <c:v>76</c:v>
                </c:pt>
                <c:pt idx="239">
                  <c:v>15.5</c:v>
                </c:pt>
                <c:pt idx="240">
                  <c:v>83.5</c:v>
                </c:pt>
                <c:pt idx="241">
                  <c:v>120</c:v>
                </c:pt>
                <c:pt idx="242">
                  <c:v>163</c:v>
                </c:pt>
                <c:pt idx="243">
                  <c:v>100</c:v>
                </c:pt>
                <c:pt idx="244">
                  <c:v>52.5</c:v>
                </c:pt>
                <c:pt idx="245">
                  <c:v>42</c:v>
                </c:pt>
                <c:pt idx="246">
                  <c:v>50</c:v>
                </c:pt>
                <c:pt idx="247">
                  <c:v>93</c:v>
                </c:pt>
                <c:pt idx="248">
                  <c:v>94.5</c:v>
                </c:pt>
                <c:pt idx="249">
                  <c:v>150.5</c:v>
                </c:pt>
                <c:pt idx="250">
                  <c:v>102</c:v>
                </c:pt>
                <c:pt idx="251">
                  <c:v>62</c:v>
                </c:pt>
                <c:pt idx="252">
                  <c:v>87.5</c:v>
                </c:pt>
                <c:pt idx="253">
                  <c:v>84</c:v>
                </c:pt>
                <c:pt idx="254">
                  <c:v>143</c:v>
                </c:pt>
                <c:pt idx="255">
                  <c:v>155</c:v>
                </c:pt>
                <c:pt idx="256">
                  <c:v>71.5</c:v>
                </c:pt>
                <c:pt idx="257">
                  <c:v>108</c:v>
                </c:pt>
                <c:pt idx="258">
                  <c:v>151.5</c:v>
                </c:pt>
                <c:pt idx="259">
                  <c:v>51.5</c:v>
                </c:pt>
                <c:pt idx="260">
                  <c:v>140</c:v>
                </c:pt>
                <c:pt idx="261">
                  <c:v>77.5</c:v>
                </c:pt>
                <c:pt idx="262">
                  <c:v>63.5</c:v>
                </c:pt>
                <c:pt idx="263">
                  <c:v>109</c:v>
                </c:pt>
                <c:pt idx="264">
                  <c:v>96</c:v>
                </c:pt>
                <c:pt idx="265">
                  <c:v>101</c:v>
                </c:pt>
                <c:pt idx="266">
                  <c:v>98.5</c:v>
                </c:pt>
                <c:pt idx="267">
                  <c:v>77.5</c:v>
                </c:pt>
                <c:pt idx="268">
                  <c:v>161.5</c:v>
                </c:pt>
                <c:pt idx="269">
                  <c:v>56.5</c:v>
                </c:pt>
                <c:pt idx="270">
                  <c:v>147</c:v>
                </c:pt>
                <c:pt idx="271">
                  <c:v>90</c:v>
                </c:pt>
                <c:pt idx="272">
                  <c:v>58</c:v>
                </c:pt>
                <c:pt idx="273">
                  <c:v>61</c:v>
                </c:pt>
                <c:pt idx="274">
                  <c:v>120</c:v>
                </c:pt>
                <c:pt idx="275">
                  <c:v>128</c:v>
                </c:pt>
                <c:pt idx="276">
                  <c:v>99.5</c:v>
                </c:pt>
                <c:pt idx="277">
                  <c:v>96</c:v>
                </c:pt>
                <c:pt idx="278">
                  <c:v>101</c:v>
                </c:pt>
                <c:pt idx="279">
                  <c:v>148</c:v>
                </c:pt>
                <c:pt idx="280">
                  <c:v>142</c:v>
                </c:pt>
                <c:pt idx="281">
                  <c:v>169</c:v>
                </c:pt>
                <c:pt idx="282">
                  <c:v>124.5</c:v>
                </c:pt>
                <c:pt idx="283">
                  <c:v>59</c:v>
                </c:pt>
                <c:pt idx="284">
                  <c:v>52.5</c:v>
                </c:pt>
                <c:pt idx="285">
                  <c:v>75.5</c:v>
                </c:pt>
                <c:pt idx="286">
                  <c:v>139</c:v>
                </c:pt>
                <c:pt idx="287">
                  <c:v>102.5</c:v>
                </c:pt>
                <c:pt idx="288">
                  <c:v>60.5</c:v>
                </c:pt>
                <c:pt idx="289">
                  <c:v>146.5</c:v>
                </c:pt>
                <c:pt idx="290">
                  <c:v>125</c:v>
                </c:pt>
                <c:pt idx="291">
                  <c:v>81</c:v>
                </c:pt>
                <c:pt idx="292">
                  <c:v>133</c:v>
                </c:pt>
                <c:pt idx="293">
                  <c:v>77</c:v>
                </c:pt>
                <c:pt idx="294">
                  <c:v>92</c:v>
                </c:pt>
                <c:pt idx="295">
                  <c:v>121</c:v>
                </c:pt>
                <c:pt idx="296">
                  <c:v>162.5</c:v>
                </c:pt>
                <c:pt idx="297">
                  <c:v>60</c:v>
                </c:pt>
                <c:pt idx="298">
                  <c:v>90.5</c:v>
                </c:pt>
                <c:pt idx="299">
                  <c:v>114.5</c:v>
                </c:pt>
                <c:pt idx="300">
                  <c:v>121</c:v>
                </c:pt>
                <c:pt idx="301">
                  <c:v>110</c:v>
                </c:pt>
                <c:pt idx="302">
                  <c:v>91.5</c:v>
                </c:pt>
                <c:pt idx="303">
                  <c:v>70.5</c:v>
                </c:pt>
                <c:pt idx="304">
                  <c:v>70.5</c:v>
                </c:pt>
                <c:pt idx="305">
                  <c:v>76.5</c:v>
                </c:pt>
                <c:pt idx="306">
                  <c:v>92</c:v>
                </c:pt>
                <c:pt idx="307">
                  <c:v>140.5</c:v>
                </c:pt>
                <c:pt idx="308">
                  <c:v>82</c:v>
                </c:pt>
                <c:pt idx="309">
                  <c:v>84.5</c:v>
                </c:pt>
                <c:pt idx="310">
                  <c:v>134.5</c:v>
                </c:pt>
                <c:pt idx="311">
                  <c:v>164.5</c:v>
                </c:pt>
                <c:pt idx="312">
                  <c:v>44</c:v>
                </c:pt>
                <c:pt idx="313">
                  <c:v>93.5</c:v>
                </c:pt>
                <c:pt idx="314">
                  <c:v>109</c:v>
                </c:pt>
                <c:pt idx="315">
                  <c:v>149.5</c:v>
                </c:pt>
                <c:pt idx="316">
                  <c:v>65.5</c:v>
                </c:pt>
                <c:pt idx="317">
                  <c:v>124.5</c:v>
                </c:pt>
                <c:pt idx="318">
                  <c:v>114</c:v>
                </c:pt>
                <c:pt idx="319">
                  <c:v>49</c:v>
                </c:pt>
                <c:pt idx="320">
                  <c:v>84.5</c:v>
                </c:pt>
                <c:pt idx="321">
                  <c:v>71</c:v>
                </c:pt>
                <c:pt idx="322">
                  <c:v>101</c:v>
                </c:pt>
                <c:pt idx="323">
                  <c:v>107</c:v>
                </c:pt>
                <c:pt idx="324">
                  <c:v>112.5</c:v>
                </c:pt>
                <c:pt idx="325">
                  <c:v>181</c:v>
                </c:pt>
                <c:pt idx="326">
                  <c:v>61</c:v>
                </c:pt>
                <c:pt idx="327">
                  <c:v>205</c:v>
                </c:pt>
                <c:pt idx="328">
                  <c:v>103.5</c:v>
                </c:pt>
                <c:pt idx="329">
                  <c:v>63</c:v>
                </c:pt>
                <c:pt idx="330">
                  <c:v>62.5</c:v>
                </c:pt>
                <c:pt idx="331">
                  <c:v>94.5</c:v>
                </c:pt>
                <c:pt idx="332">
                  <c:v>48.5</c:v>
                </c:pt>
                <c:pt idx="333">
                  <c:v>154.5</c:v>
                </c:pt>
                <c:pt idx="334">
                  <c:v>44.5</c:v>
                </c:pt>
                <c:pt idx="335">
                  <c:v>87</c:v>
                </c:pt>
                <c:pt idx="336">
                  <c:v>52.5</c:v>
                </c:pt>
                <c:pt idx="337">
                  <c:v>64.5</c:v>
                </c:pt>
                <c:pt idx="338">
                  <c:v>111.5</c:v>
                </c:pt>
                <c:pt idx="339">
                  <c:v>154.5</c:v>
                </c:pt>
                <c:pt idx="340">
                  <c:v>124</c:v>
                </c:pt>
                <c:pt idx="341">
                  <c:v>128.5</c:v>
                </c:pt>
                <c:pt idx="342">
                  <c:v>65</c:v>
                </c:pt>
                <c:pt idx="343">
                  <c:v>64</c:v>
                </c:pt>
                <c:pt idx="344">
                  <c:v>98</c:v>
                </c:pt>
                <c:pt idx="345">
                  <c:v>142.5</c:v>
                </c:pt>
                <c:pt idx="346">
                  <c:v>137</c:v>
                </c:pt>
                <c:pt idx="347">
                  <c:v>99</c:v>
                </c:pt>
                <c:pt idx="348">
                  <c:v>54</c:v>
                </c:pt>
                <c:pt idx="349">
                  <c:v>139.5</c:v>
                </c:pt>
                <c:pt idx="350">
                  <c:v>109</c:v>
                </c:pt>
                <c:pt idx="351">
                  <c:v>254</c:v>
                </c:pt>
                <c:pt idx="352">
                  <c:v>73</c:v>
                </c:pt>
                <c:pt idx="353">
                  <c:v>81</c:v>
                </c:pt>
                <c:pt idx="354">
                  <c:v>56.5</c:v>
                </c:pt>
                <c:pt idx="355">
                  <c:v>99.5</c:v>
                </c:pt>
                <c:pt idx="356">
                  <c:v>45.5</c:v>
                </c:pt>
                <c:pt idx="357">
                  <c:v>122.5</c:v>
                </c:pt>
                <c:pt idx="358">
                  <c:v>140</c:v>
                </c:pt>
                <c:pt idx="359">
                  <c:v>77.5</c:v>
                </c:pt>
                <c:pt idx="360">
                  <c:v>55</c:v>
                </c:pt>
                <c:pt idx="361">
                  <c:v>117.5</c:v>
                </c:pt>
                <c:pt idx="362">
                  <c:v>70.5</c:v>
                </c:pt>
                <c:pt idx="363">
                  <c:v>61.5</c:v>
                </c:pt>
                <c:pt idx="364">
                  <c:v>70</c:v>
                </c:pt>
                <c:pt idx="365">
                  <c:v>80</c:v>
                </c:pt>
                <c:pt idx="366">
                  <c:v>90</c:v>
                </c:pt>
                <c:pt idx="367">
                  <c:v>73.5</c:v>
                </c:pt>
                <c:pt idx="368">
                  <c:v>91</c:v>
                </c:pt>
                <c:pt idx="369">
                  <c:v>155</c:v>
                </c:pt>
                <c:pt idx="370">
                  <c:v>129.5</c:v>
                </c:pt>
                <c:pt idx="371">
                  <c:v>167.5</c:v>
                </c:pt>
                <c:pt idx="372">
                  <c:v>60</c:v>
                </c:pt>
                <c:pt idx="373">
                  <c:v>180</c:v>
                </c:pt>
                <c:pt idx="374">
                  <c:v>65</c:v>
                </c:pt>
                <c:pt idx="375">
                  <c:v>112.5</c:v>
                </c:pt>
                <c:pt idx="376">
                  <c:v>87.5</c:v>
                </c:pt>
                <c:pt idx="377">
                  <c:v>51.5</c:v>
                </c:pt>
                <c:pt idx="378">
                  <c:v>51</c:v>
                </c:pt>
                <c:pt idx="379">
                  <c:v>62.5</c:v>
                </c:pt>
                <c:pt idx="380">
                  <c:v>100</c:v>
                </c:pt>
                <c:pt idx="381">
                  <c:v>85</c:v>
                </c:pt>
                <c:pt idx="382">
                  <c:v>122</c:v>
                </c:pt>
                <c:pt idx="383">
                  <c:v>66.5</c:v>
                </c:pt>
                <c:pt idx="384">
                  <c:v>70.5</c:v>
                </c:pt>
                <c:pt idx="385">
                  <c:v>138.5</c:v>
                </c:pt>
                <c:pt idx="386">
                  <c:v>107.5</c:v>
                </c:pt>
                <c:pt idx="387">
                  <c:v>120.5</c:v>
                </c:pt>
                <c:pt idx="388">
                  <c:v>81</c:v>
                </c:pt>
                <c:pt idx="389">
                  <c:v>103.5</c:v>
                </c:pt>
                <c:pt idx="390">
                  <c:v>107.5</c:v>
                </c:pt>
                <c:pt idx="391">
                  <c:v>162</c:v>
                </c:pt>
                <c:pt idx="392">
                  <c:v>68.5</c:v>
                </c:pt>
                <c:pt idx="393">
                  <c:v>110.5</c:v>
                </c:pt>
                <c:pt idx="394">
                  <c:v>81</c:v>
                </c:pt>
                <c:pt idx="395">
                  <c:v>130</c:v>
                </c:pt>
                <c:pt idx="396">
                  <c:v>115.5</c:v>
                </c:pt>
                <c:pt idx="397">
                  <c:v>80.5</c:v>
                </c:pt>
                <c:pt idx="398">
                  <c:v>43</c:v>
                </c:pt>
                <c:pt idx="399">
                  <c:v>140</c:v>
                </c:pt>
                <c:pt idx="400">
                  <c:v>66.5</c:v>
                </c:pt>
                <c:pt idx="401">
                  <c:v>94.5</c:v>
                </c:pt>
                <c:pt idx="402">
                  <c:v>119</c:v>
                </c:pt>
                <c:pt idx="403">
                  <c:v>51.5</c:v>
                </c:pt>
                <c:pt idx="404">
                  <c:v>27.5</c:v>
                </c:pt>
                <c:pt idx="405">
                  <c:v>194.5</c:v>
                </c:pt>
                <c:pt idx="406">
                  <c:v>71.5</c:v>
                </c:pt>
                <c:pt idx="407">
                  <c:v>105.5</c:v>
                </c:pt>
                <c:pt idx="408">
                  <c:v>74</c:v>
                </c:pt>
                <c:pt idx="409">
                  <c:v>62.5</c:v>
                </c:pt>
                <c:pt idx="410">
                  <c:v>65.5</c:v>
                </c:pt>
                <c:pt idx="411">
                  <c:v>161.5</c:v>
                </c:pt>
                <c:pt idx="412">
                  <c:v>72.5</c:v>
                </c:pt>
                <c:pt idx="413">
                  <c:v>139</c:v>
                </c:pt>
                <c:pt idx="414">
                  <c:v>136.5</c:v>
                </c:pt>
                <c:pt idx="415">
                  <c:v>74.5</c:v>
                </c:pt>
                <c:pt idx="416">
                  <c:v>80.5</c:v>
                </c:pt>
                <c:pt idx="417">
                  <c:v>75.5</c:v>
                </c:pt>
                <c:pt idx="418">
                  <c:v>143.5</c:v>
                </c:pt>
                <c:pt idx="419">
                  <c:v>101</c:v>
                </c:pt>
                <c:pt idx="420">
                  <c:v>92</c:v>
                </c:pt>
                <c:pt idx="421">
                  <c:v>76.5</c:v>
                </c:pt>
                <c:pt idx="422">
                  <c:v>140.5</c:v>
                </c:pt>
                <c:pt idx="423">
                  <c:v>116.5</c:v>
                </c:pt>
                <c:pt idx="424">
                  <c:v>232.5</c:v>
                </c:pt>
                <c:pt idx="425">
                  <c:v>120.5</c:v>
                </c:pt>
                <c:pt idx="426">
                  <c:v>82</c:v>
                </c:pt>
                <c:pt idx="427">
                  <c:v>84.5</c:v>
                </c:pt>
                <c:pt idx="428">
                  <c:v>153</c:v>
                </c:pt>
                <c:pt idx="429">
                  <c:v>127</c:v>
                </c:pt>
                <c:pt idx="430">
                  <c:v>85.5</c:v>
                </c:pt>
                <c:pt idx="431">
                  <c:v>76.5</c:v>
                </c:pt>
                <c:pt idx="432">
                  <c:v>128</c:v>
                </c:pt>
                <c:pt idx="433">
                  <c:v>91.5</c:v>
                </c:pt>
                <c:pt idx="434">
                  <c:v>134.5</c:v>
                </c:pt>
                <c:pt idx="435">
                  <c:v>164.5</c:v>
                </c:pt>
                <c:pt idx="436">
                  <c:v>93.5</c:v>
                </c:pt>
                <c:pt idx="437">
                  <c:v>44</c:v>
                </c:pt>
                <c:pt idx="438">
                  <c:v>149.5</c:v>
                </c:pt>
                <c:pt idx="439">
                  <c:v>65.5</c:v>
                </c:pt>
                <c:pt idx="440">
                  <c:v>109</c:v>
                </c:pt>
                <c:pt idx="441">
                  <c:v>177</c:v>
                </c:pt>
                <c:pt idx="442">
                  <c:v>107</c:v>
                </c:pt>
                <c:pt idx="443">
                  <c:v>154.5</c:v>
                </c:pt>
                <c:pt idx="444">
                  <c:v>113.5</c:v>
                </c:pt>
                <c:pt idx="445">
                  <c:v>124.5</c:v>
                </c:pt>
                <c:pt idx="446">
                  <c:v>143.5</c:v>
                </c:pt>
                <c:pt idx="447">
                  <c:v>113.5</c:v>
                </c:pt>
                <c:pt idx="448">
                  <c:v>101.5</c:v>
                </c:pt>
                <c:pt idx="449">
                  <c:v>73</c:v>
                </c:pt>
                <c:pt idx="450">
                  <c:v>80.5</c:v>
                </c:pt>
                <c:pt idx="451">
                  <c:v>114</c:v>
                </c:pt>
                <c:pt idx="452">
                  <c:v>139.5</c:v>
                </c:pt>
                <c:pt idx="453">
                  <c:v>145.5</c:v>
                </c:pt>
                <c:pt idx="454">
                  <c:v>87</c:v>
                </c:pt>
                <c:pt idx="455">
                  <c:v>100.5</c:v>
                </c:pt>
                <c:pt idx="456">
                  <c:v>147</c:v>
                </c:pt>
                <c:pt idx="457">
                  <c:v>110.5</c:v>
                </c:pt>
                <c:pt idx="458">
                  <c:v>49</c:v>
                </c:pt>
                <c:pt idx="459">
                  <c:v>94</c:v>
                </c:pt>
                <c:pt idx="460">
                  <c:v>123.5</c:v>
                </c:pt>
                <c:pt idx="461">
                  <c:v>84.5</c:v>
                </c:pt>
                <c:pt idx="462">
                  <c:v>71</c:v>
                </c:pt>
                <c:pt idx="463">
                  <c:v>73</c:v>
                </c:pt>
                <c:pt idx="464">
                  <c:v>101</c:v>
                </c:pt>
                <c:pt idx="465">
                  <c:v>181</c:v>
                </c:pt>
                <c:pt idx="466">
                  <c:v>109.5</c:v>
                </c:pt>
                <c:pt idx="467">
                  <c:v>184.5</c:v>
                </c:pt>
                <c:pt idx="468">
                  <c:v>165</c:v>
                </c:pt>
                <c:pt idx="469">
                  <c:v>61</c:v>
                </c:pt>
                <c:pt idx="470">
                  <c:v>205</c:v>
                </c:pt>
                <c:pt idx="471">
                  <c:v>59.5</c:v>
                </c:pt>
                <c:pt idx="472">
                  <c:v>103.5</c:v>
                </c:pt>
                <c:pt idx="473">
                  <c:v>62.5</c:v>
                </c:pt>
                <c:pt idx="474">
                  <c:v>63</c:v>
                </c:pt>
                <c:pt idx="475">
                  <c:v>66</c:v>
                </c:pt>
                <c:pt idx="476">
                  <c:v>94.5</c:v>
                </c:pt>
                <c:pt idx="477">
                  <c:v>75.5</c:v>
                </c:pt>
                <c:pt idx="478">
                  <c:v>87</c:v>
                </c:pt>
                <c:pt idx="479">
                  <c:v>140</c:v>
                </c:pt>
                <c:pt idx="480">
                  <c:v>86</c:v>
                </c:pt>
                <c:pt idx="481">
                  <c:v>116.5</c:v>
                </c:pt>
                <c:pt idx="482">
                  <c:v>154.5</c:v>
                </c:pt>
                <c:pt idx="483">
                  <c:v>87</c:v>
                </c:pt>
                <c:pt idx="484">
                  <c:v>48.5</c:v>
                </c:pt>
                <c:pt idx="485">
                  <c:v>80</c:v>
                </c:pt>
                <c:pt idx="486">
                  <c:v>44.5</c:v>
                </c:pt>
                <c:pt idx="487">
                  <c:v>52.5</c:v>
                </c:pt>
                <c:pt idx="488">
                  <c:v>173</c:v>
                </c:pt>
                <c:pt idx="489">
                  <c:v>68.5</c:v>
                </c:pt>
                <c:pt idx="490">
                  <c:v>172</c:v>
                </c:pt>
                <c:pt idx="491">
                  <c:v>114.5</c:v>
                </c:pt>
                <c:pt idx="492">
                  <c:v>95</c:v>
                </c:pt>
                <c:pt idx="493">
                  <c:v>69.5</c:v>
                </c:pt>
                <c:pt idx="494">
                  <c:v>64.5</c:v>
                </c:pt>
                <c:pt idx="495">
                  <c:v>111.5</c:v>
                </c:pt>
                <c:pt idx="496">
                  <c:v>97.5</c:v>
                </c:pt>
                <c:pt idx="497">
                  <c:v>154.5</c:v>
                </c:pt>
                <c:pt idx="498">
                  <c:v>124</c:v>
                </c:pt>
                <c:pt idx="499">
                  <c:v>95</c:v>
                </c:pt>
                <c:pt idx="500">
                  <c:v>128.5</c:v>
                </c:pt>
                <c:pt idx="501">
                  <c:v>194</c:v>
                </c:pt>
                <c:pt idx="502">
                  <c:v>104.5</c:v>
                </c:pt>
                <c:pt idx="503">
                  <c:v>65</c:v>
                </c:pt>
                <c:pt idx="504">
                  <c:v>85.5</c:v>
                </c:pt>
                <c:pt idx="505">
                  <c:v>50</c:v>
                </c:pt>
                <c:pt idx="506">
                  <c:v>113</c:v>
                </c:pt>
                <c:pt idx="507">
                  <c:v>90.5</c:v>
                </c:pt>
                <c:pt idx="508">
                  <c:v>153</c:v>
                </c:pt>
                <c:pt idx="509">
                  <c:v>123.5</c:v>
                </c:pt>
                <c:pt idx="510">
                  <c:v>47</c:v>
                </c:pt>
                <c:pt idx="511">
                  <c:v>64</c:v>
                </c:pt>
                <c:pt idx="512">
                  <c:v>162</c:v>
                </c:pt>
                <c:pt idx="513">
                  <c:v>137</c:v>
                </c:pt>
                <c:pt idx="514">
                  <c:v>98</c:v>
                </c:pt>
                <c:pt idx="515">
                  <c:v>115</c:v>
                </c:pt>
                <c:pt idx="516">
                  <c:v>133.5</c:v>
                </c:pt>
                <c:pt idx="517">
                  <c:v>99</c:v>
                </c:pt>
                <c:pt idx="518">
                  <c:v>54</c:v>
                </c:pt>
                <c:pt idx="519">
                  <c:v>109</c:v>
                </c:pt>
                <c:pt idx="520">
                  <c:v>109</c:v>
                </c:pt>
                <c:pt idx="521">
                  <c:v>139.5</c:v>
                </c:pt>
                <c:pt idx="522">
                  <c:v>254</c:v>
                </c:pt>
                <c:pt idx="523">
                  <c:v>125</c:v>
                </c:pt>
                <c:pt idx="524">
                  <c:v>106.5</c:v>
                </c:pt>
                <c:pt idx="525">
                  <c:v>73</c:v>
                </c:pt>
                <c:pt idx="526">
                  <c:v>81</c:v>
                </c:pt>
                <c:pt idx="527">
                  <c:v>56.5</c:v>
                </c:pt>
                <c:pt idx="528">
                  <c:v>99.5</c:v>
                </c:pt>
                <c:pt idx="529">
                  <c:v>45.5</c:v>
                </c:pt>
                <c:pt idx="530">
                  <c:v>54</c:v>
                </c:pt>
                <c:pt idx="531">
                  <c:v>122.5</c:v>
                </c:pt>
                <c:pt idx="532">
                  <c:v>37.5</c:v>
                </c:pt>
                <c:pt idx="533">
                  <c:v>53.5</c:v>
                </c:pt>
                <c:pt idx="534">
                  <c:v>140</c:v>
                </c:pt>
                <c:pt idx="535">
                  <c:v>77.5</c:v>
                </c:pt>
                <c:pt idx="536">
                  <c:v>55</c:v>
                </c:pt>
                <c:pt idx="537">
                  <c:v>117.5</c:v>
                </c:pt>
                <c:pt idx="538">
                  <c:v>70.5</c:v>
                </c:pt>
                <c:pt idx="539">
                  <c:v>70</c:v>
                </c:pt>
                <c:pt idx="540">
                  <c:v>61.5</c:v>
                </c:pt>
                <c:pt idx="541">
                  <c:v>80</c:v>
                </c:pt>
                <c:pt idx="542">
                  <c:v>79.5</c:v>
                </c:pt>
                <c:pt idx="543">
                  <c:v>168</c:v>
                </c:pt>
                <c:pt idx="544">
                  <c:v>90</c:v>
                </c:pt>
                <c:pt idx="545">
                  <c:v>138.5</c:v>
                </c:pt>
                <c:pt idx="546">
                  <c:v>111.5</c:v>
                </c:pt>
                <c:pt idx="547">
                  <c:v>68.5</c:v>
                </c:pt>
                <c:pt idx="548">
                  <c:v>84.5</c:v>
                </c:pt>
                <c:pt idx="549">
                  <c:v>102.5</c:v>
                </c:pt>
                <c:pt idx="550">
                  <c:v>73.5</c:v>
                </c:pt>
                <c:pt idx="551">
                  <c:v>93.5</c:v>
                </c:pt>
                <c:pt idx="552">
                  <c:v>127.5</c:v>
                </c:pt>
                <c:pt idx="553">
                  <c:v>72</c:v>
                </c:pt>
                <c:pt idx="554">
                  <c:v>129.5</c:v>
                </c:pt>
                <c:pt idx="555">
                  <c:v>47</c:v>
                </c:pt>
                <c:pt idx="556">
                  <c:v>65</c:v>
                </c:pt>
                <c:pt idx="557">
                  <c:v>60</c:v>
                </c:pt>
                <c:pt idx="558">
                  <c:v>167.5</c:v>
                </c:pt>
                <c:pt idx="559">
                  <c:v>65</c:v>
                </c:pt>
                <c:pt idx="560">
                  <c:v>94</c:v>
                </c:pt>
                <c:pt idx="561">
                  <c:v>87.5</c:v>
                </c:pt>
                <c:pt idx="562">
                  <c:v>97</c:v>
                </c:pt>
                <c:pt idx="563">
                  <c:v>112.5</c:v>
                </c:pt>
                <c:pt idx="564">
                  <c:v>91.5</c:v>
                </c:pt>
                <c:pt idx="565">
                  <c:v>51.5</c:v>
                </c:pt>
                <c:pt idx="566">
                  <c:v>114.5</c:v>
                </c:pt>
                <c:pt idx="567">
                  <c:v>115</c:v>
                </c:pt>
                <c:pt idx="568">
                  <c:v>74</c:v>
                </c:pt>
                <c:pt idx="569">
                  <c:v>51</c:v>
                </c:pt>
                <c:pt idx="570">
                  <c:v>100</c:v>
                </c:pt>
                <c:pt idx="571">
                  <c:v>121</c:v>
                </c:pt>
                <c:pt idx="572">
                  <c:v>121.5</c:v>
                </c:pt>
                <c:pt idx="573">
                  <c:v>62.5</c:v>
                </c:pt>
                <c:pt idx="574">
                  <c:v>122</c:v>
                </c:pt>
                <c:pt idx="575">
                  <c:v>85</c:v>
                </c:pt>
                <c:pt idx="576">
                  <c:v>60.5</c:v>
                </c:pt>
                <c:pt idx="577">
                  <c:v>180</c:v>
                </c:pt>
                <c:pt idx="578">
                  <c:v>70.5</c:v>
                </c:pt>
                <c:pt idx="579">
                  <c:v>118.5</c:v>
                </c:pt>
                <c:pt idx="580">
                  <c:v>66.5</c:v>
                </c:pt>
                <c:pt idx="581">
                  <c:v>107.5</c:v>
                </c:pt>
                <c:pt idx="582">
                  <c:v>138.5</c:v>
                </c:pt>
                <c:pt idx="583">
                  <c:v>81</c:v>
                </c:pt>
                <c:pt idx="584">
                  <c:v>58.5</c:v>
                </c:pt>
                <c:pt idx="585">
                  <c:v>107.5</c:v>
                </c:pt>
                <c:pt idx="586">
                  <c:v>120.5</c:v>
                </c:pt>
                <c:pt idx="587">
                  <c:v>63.5</c:v>
                </c:pt>
                <c:pt idx="588">
                  <c:v>103.5</c:v>
                </c:pt>
                <c:pt idx="589">
                  <c:v>107</c:v>
                </c:pt>
                <c:pt idx="590">
                  <c:v>105.5</c:v>
                </c:pt>
                <c:pt idx="591">
                  <c:v>83</c:v>
                </c:pt>
                <c:pt idx="592">
                  <c:v>162</c:v>
                </c:pt>
                <c:pt idx="593">
                  <c:v>68.5</c:v>
                </c:pt>
                <c:pt idx="594">
                  <c:v>110.5</c:v>
                </c:pt>
                <c:pt idx="595">
                  <c:v>115.5</c:v>
                </c:pt>
                <c:pt idx="596">
                  <c:v>87.5</c:v>
                </c:pt>
                <c:pt idx="597">
                  <c:v>80.5</c:v>
                </c:pt>
                <c:pt idx="598">
                  <c:v>43</c:v>
                </c:pt>
                <c:pt idx="599">
                  <c:v>140</c:v>
                </c:pt>
                <c:pt idx="600">
                  <c:v>172</c:v>
                </c:pt>
                <c:pt idx="601">
                  <c:v>66.5</c:v>
                </c:pt>
                <c:pt idx="602">
                  <c:v>100</c:v>
                </c:pt>
                <c:pt idx="603">
                  <c:v>94.5</c:v>
                </c:pt>
                <c:pt idx="604">
                  <c:v>221.5</c:v>
                </c:pt>
                <c:pt idx="605">
                  <c:v>119</c:v>
                </c:pt>
                <c:pt idx="606">
                  <c:v>95.5</c:v>
                </c:pt>
                <c:pt idx="607">
                  <c:v>194.5</c:v>
                </c:pt>
                <c:pt idx="608">
                  <c:v>51.5</c:v>
                </c:pt>
                <c:pt idx="609">
                  <c:v>27.5</c:v>
                </c:pt>
                <c:pt idx="610">
                  <c:v>173</c:v>
                </c:pt>
                <c:pt idx="611">
                  <c:v>105.5</c:v>
                </c:pt>
                <c:pt idx="612">
                  <c:v>71.5</c:v>
                </c:pt>
                <c:pt idx="613">
                  <c:v>74</c:v>
                </c:pt>
                <c:pt idx="614">
                  <c:v>62.5</c:v>
                </c:pt>
                <c:pt idx="615">
                  <c:v>65.5</c:v>
                </c:pt>
                <c:pt idx="616">
                  <c:v>85</c:v>
                </c:pt>
                <c:pt idx="617">
                  <c:v>147.5</c:v>
                </c:pt>
                <c:pt idx="618">
                  <c:v>161.5</c:v>
                </c:pt>
                <c:pt idx="619">
                  <c:v>81</c:v>
                </c:pt>
                <c:pt idx="620">
                  <c:v>72.5</c:v>
                </c:pt>
                <c:pt idx="621">
                  <c:v>139</c:v>
                </c:pt>
                <c:pt idx="622">
                  <c:v>136.5</c:v>
                </c:pt>
                <c:pt idx="623">
                  <c:v>83</c:v>
                </c:pt>
                <c:pt idx="624">
                  <c:v>121</c:v>
                </c:pt>
                <c:pt idx="625">
                  <c:v>74.5</c:v>
                </c:pt>
                <c:pt idx="626">
                  <c:v>85.5</c:v>
                </c:pt>
                <c:pt idx="627">
                  <c:v>80.5</c:v>
                </c:pt>
                <c:pt idx="628">
                  <c:v>167.5</c:v>
                </c:pt>
                <c:pt idx="629">
                  <c:v>107.5</c:v>
                </c:pt>
                <c:pt idx="630">
                  <c:v>44.5</c:v>
                </c:pt>
                <c:pt idx="631">
                  <c:v>107.5</c:v>
                </c:pt>
                <c:pt idx="632">
                  <c:v>69.5</c:v>
                </c:pt>
                <c:pt idx="633">
                  <c:v>98.5</c:v>
                </c:pt>
                <c:pt idx="634">
                  <c:v>80.5</c:v>
                </c:pt>
                <c:pt idx="635">
                  <c:v>76.5</c:v>
                </c:pt>
                <c:pt idx="636">
                  <c:v>99</c:v>
                </c:pt>
                <c:pt idx="637">
                  <c:v>96.5</c:v>
                </c:pt>
                <c:pt idx="638">
                  <c:v>53</c:v>
                </c:pt>
                <c:pt idx="639">
                  <c:v>103</c:v>
                </c:pt>
                <c:pt idx="640">
                  <c:v>139.5</c:v>
                </c:pt>
                <c:pt idx="641">
                  <c:v>67</c:v>
                </c:pt>
                <c:pt idx="642">
                  <c:v>62.5</c:v>
                </c:pt>
                <c:pt idx="643">
                  <c:v>92</c:v>
                </c:pt>
                <c:pt idx="644">
                  <c:v>66</c:v>
                </c:pt>
                <c:pt idx="645">
                  <c:v>94.5</c:v>
                </c:pt>
                <c:pt idx="646">
                  <c:v>114</c:v>
                </c:pt>
                <c:pt idx="647">
                  <c:v>75.5</c:v>
                </c:pt>
                <c:pt idx="648">
                  <c:v>96</c:v>
                </c:pt>
                <c:pt idx="649">
                  <c:v>87</c:v>
                </c:pt>
                <c:pt idx="650">
                  <c:v>86</c:v>
                </c:pt>
                <c:pt idx="651">
                  <c:v>116.5</c:v>
                </c:pt>
                <c:pt idx="652">
                  <c:v>154.5</c:v>
                </c:pt>
                <c:pt idx="653">
                  <c:v>48.5</c:v>
                </c:pt>
                <c:pt idx="654">
                  <c:v>87</c:v>
                </c:pt>
                <c:pt idx="655">
                  <c:v>80</c:v>
                </c:pt>
                <c:pt idx="656">
                  <c:v>44.5</c:v>
                </c:pt>
                <c:pt idx="657">
                  <c:v>173</c:v>
                </c:pt>
                <c:pt idx="658">
                  <c:v>52.5</c:v>
                </c:pt>
                <c:pt idx="659">
                  <c:v>68.5</c:v>
                </c:pt>
                <c:pt idx="660">
                  <c:v>95</c:v>
                </c:pt>
                <c:pt idx="661">
                  <c:v>69.5</c:v>
                </c:pt>
                <c:pt idx="662">
                  <c:v>107</c:v>
                </c:pt>
                <c:pt idx="663">
                  <c:v>112</c:v>
                </c:pt>
                <c:pt idx="664">
                  <c:v>96.5</c:v>
                </c:pt>
                <c:pt idx="665">
                  <c:v>111.5</c:v>
                </c:pt>
                <c:pt idx="666">
                  <c:v>154.5</c:v>
                </c:pt>
                <c:pt idx="667">
                  <c:v>95</c:v>
                </c:pt>
                <c:pt idx="668">
                  <c:v>97.5</c:v>
                </c:pt>
                <c:pt idx="669">
                  <c:v>128.5</c:v>
                </c:pt>
                <c:pt idx="670">
                  <c:v>124</c:v>
                </c:pt>
                <c:pt idx="671">
                  <c:v>194</c:v>
                </c:pt>
                <c:pt idx="672">
                  <c:v>65</c:v>
                </c:pt>
                <c:pt idx="673">
                  <c:v>50</c:v>
                </c:pt>
                <c:pt idx="674">
                  <c:v>104.5</c:v>
                </c:pt>
                <c:pt idx="675">
                  <c:v>69.5</c:v>
                </c:pt>
                <c:pt idx="676">
                  <c:v>121</c:v>
                </c:pt>
                <c:pt idx="677">
                  <c:v>85.5</c:v>
                </c:pt>
                <c:pt idx="678">
                  <c:v>113</c:v>
                </c:pt>
                <c:pt idx="679">
                  <c:v>103</c:v>
                </c:pt>
                <c:pt idx="680">
                  <c:v>90.5</c:v>
                </c:pt>
                <c:pt idx="681">
                  <c:v>153</c:v>
                </c:pt>
                <c:pt idx="682">
                  <c:v>106.5</c:v>
                </c:pt>
                <c:pt idx="683">
                  <c:v>130</c:v>
                </c:pt>
                <c:pt idx="684">
                  <c:v>123.5</c:v>
                </c:pt>
                <c:pt idx="685">
                  <c:v>86.5</c:v>
                </c:pt>
                <c:pt idx="686">
                  <c:v>64</c:v>
                </c:pt>
                <c:pt idx="687">
                  <c:v>47</c:v>
                </c:pt>
                <c:pt idx="688">
                  <c:v>162</c:v>
                </c:pt>
                <c:pt idx="689">
                  <c:v>140</c:v>
                </c:pt>
                <c:pt idx="690">
                  <c:v>89</c:v>
                </c:pt>
                <c:pt idx="691">
                  <c:v>98</c:v>
                </c:pt>
                <c:pt idx="692">
                  <c:v>137</c:v>
                </c:pt>
                <c:pt idx="693">
                  <c:v>99</c:v>
                </c:pt>
                <c:pt idx="694">
                  <c:v>54</c:v>
                </c:pt>
                <c:pt idx="695">
                  <c:v>109</c:v>
                </c:pt>
                <c:pt idx="696">
                  <c:v>109</c:v>
                </c:pt>
                <c:pt idx="697">
                  <c:v>139.5</c:v>
                </c:pt>
                <c:pt idx="698">
                  <c:v>254</c:v>
                </c:pt>
                <c:pt idx="699">
                  <c:v>125</c:v>
                </c:pt>
                <c:pt idx="700">
                  <c:v>106.5</c:v>
                </c:pt>
                <c:pt idx="701">
                  <c:v>56.5</c:v>
                </c:pt>
                <c:pt idx="702">
                  <c:v>73</c:v>
                </c:pt>
                <c:pt idx="703">
                  <c:v>81</c:v>
                </c:pt>
                <c:pt idx="704">
                  <c:v>128.5</c:v>
                </c:pt>
                <c:pt idx="705">
                  <c:v>99.5</c:v>
                </c:pt>
                <c:pt idx="706">
                  <c:v>92</c:v>
                </c:pt>
                <c:pt idx="707">
                  <c:v>45.5</c:v>
                </c:pt>
                <c:pt idx="708">
                  <c:v>122.5</c:v>
                </c:pt>
                <c:pt idx="709">
                  <c:v>37.5</c:v>
                </c:pt>
                <c:pt idx="710">
                  <c:v>54</c:v>
                </c:pt>
                <c:pt idx="711">
                  <c:v>53.5</c:v>
                </c:pt>
                <c:pt idx="712">
                  <c:v>140</c:v>
                </c:pt>
                <c:pt idx="713">
                  <c:v>77.5</c:v>
                </c:pt>
                <c:pt idx="714">
                  <c:v>55</c:v>
                </c:pt>
                <c:pt idx="715">
                  <c:v>117.5</c:v>
                </c:pt>
                <c:pt idx="716">
                  <c:v>70.5</c:v>
                </c:pt>
                <c:pt idx="717">
                  <c:v>61.5</c:v>
                </c:pt>
                <c:pt idx="718">
                  <c:v>80</c:v>
                </c:pt>
                <c:pt idx="719">
                  <c:v>70</c:v>
                </c:pt>
                <c:pt idx="720">
                  <c:v>90</c:v>
                </c:pt>
                <c:pt idx="721">
                  <c:v>111</c:v>
                </c:pt>
                <c:pt idx="722">
                  <c:v>138.5</c:v>
                </c:pt>
                <c:pt idx="723">
                  <c:v>68.5</c:v>
                </c:pt>
                <c:pt idx="724">
                  <c:v>87.5</c:v>
                </c:pt>
                <c:pt idx="725">
                  <c:v>111.5</c:v>
                </c:pt>
                <c:pt idx="726">
                  <c:v>84.5</c:v>
                </c:pt>
                <c:pt idx="727">
                  <c:v>102.5</c:v>
                </c:pt>
                <c:pt idx="728">
                  <c:v>73.5</c:v>
                </c:pt>
                <c:pt idx="729">
                  <c:v>127.5</c:v>
                </c:pt>
                <c:pt idx="730">
                  <c:v>93.5</c:v>
                </c:pt>
              </c:numCache>
            </c:numRef>
          </c:yVal>
          <c:smooth val="1"/>
        </c:ser>
        <c:dLbls/>
        <c:axId val="84534016"/>
        <c:axId val="84535936"/>
      </c:scatterChart>
      <c:valAx>
        <c:axId val="84534016"/>
        <c:scaling>
          <c:orientation val="minMax"/>
        </c:scaling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Company Rating</a:t>
                </a:r>
                <a:r>
                  <a:rPr lang="en-US" baseline="0"/>
                  <a:t> 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crossAx val="84535936"/>
        <c:crosses val="autoZero"/>
        <c:crossBetween val="midCat"/>
      </c:valAx>
      <c:valAx>
        <c:axId val="84535936"/>
        <c:scaling>
          <c:orientation val="minMax"/>
        </c:scaling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</a:t>
                </a:r>
                <a:r>
                  <a:rPr lang="en-US" baseline="0"/>
                  <a:t> Salary in $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crossAx val="8453401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5"/>
  <c:chart>
    <c:title>
      <c:tx>
        <c:rich>
          <a:bodyPr/>
          <a:lstStyle/>
          <a:p>
            <a:pPr>
              <a:defRPr/>
            </a:pPr>
            <a:r>
              <a:rPr lang="en-US"/>
              <a:t>Rating</a:t>
            </a:r>
            <a:r>
              <a:rPr lang="en-US" baseline="0"/>
              <a:t> by Size</a:t>
            </a:r>
          </a:p>
          <a:p>
            <a:pPr>
              <a:defRPr/>
            </a:pPr>
            <a:endParaRPr lang="en-US"/>
          </a:p>
        </c:rich>
      </c:tx>
      <c:layout/>
    </c:title>
    <c:pivotFmts>
      <c:pivotFmt>
        <c:idx val="0"/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v>Total</c:v>
          </c:tx>
          <c:cat>
            <c:strLit>
              <c:ptCount val="8"/>
              <c:pt idx="0">
                <c:v>51 - 200 </c:v>
              </c:pt>
              <c:pt idx="1">
                <c:v>1/1/1950</c:v>
              </c:pt>
              <c:pt idx="2">
                <c:v>201 - 500 </c:v>
              </c:pt>
              <c:pt idx="3">
                <c:v>10000+ </c:v>
              </c:pt>
              <c:pt idx="4">
                <c:v>1001 - 5000 </c:v>
              </c:pt>
              <c:pt idx="5">
                <c:v>501 - 1000 </c:v>
              </c:pt>
              <c:pt idx="6">
                <c:v>5001 - 10000 </c:v>
              </c:pt>
              <c:pt idx="7">
                <c:v>unknown</c:v>
              </c:pt>
            </c:strLit>
          </c:cat>
          <c:val>
            <c:numLit>
              <c:formatCode>General</c:formatCode>
              <c:ptCount val="8"/>
              <c:pt idx="0">
                <c:v>4.0212765957446814</c:v>
              </c:pt>
              <c:pt idx="1">
                <c:v>3.73548387096774</c:v>
              </c:pt>
              <c:pt idx="2">
                <c:v>3.6700854700854695</c:v>
              </c:pt>
              <c:pt idx="3">
                <c:v>3.63</c:v>
              </c:pt>
              <c:pt idx="4">
                <c:v>3.59866666666667</c:v>
              </c:pt>
              <c:pt idx="5">
                <c:v>3.5813432835820902</c:v>
              </c:pt>
              <c:pt idx="6">
                <c:v>3.5315789473684198</c:v>
              </c:pt>
              <c:pt idx="7">
                <c:v>0.2</c:v>
              </c:pt>
            </c:numLit>
          </c:val>
        </c:ser>
        <c:axId val="112122880"/>
        <c:axId val="112812800"/>
      </c:barChart>
      <c:catAx>
        <c:axId val="112122880"/>
        <c:scaling>
          <c:orientation val="minMax"/>
        </c:scaling>
        <c:axPos val="b"/>
        <c:tickLblPos val="nextTo"/>
        <c:crossAx val="112812800"/>
        <c:crosses val="autoZero"/>
        <c:auto val="1"/>
        <c:lblAlgn val="ctr"/>
        <c:lblOffset val="100"/>
      </c:catAx>
      <c:valAx>
        <c:axId val="112812800"/>
        <c:scaling>
          <c:orientation val="minMax"/>
        </c:scaling>
        <c:axPos val="l"/>
        <c:majorGridlines/>
        <c:numFmt formatCode="General" sourceLinked="1"/>
        <c:tickLblPos val="nextTo"/>
        <c:crossAx val="11212288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Salary</a:t>
            </a:r>
            <a:r>
              <a:rPr lang="en-US" baseline="0"/>
              <a:t> by Size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66150821023405182"/>
          <c:y val="3.3542976939203356E-2"/>
        </c:manualLayout>
      </c:layout>
      <c:overlay val="1"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v>Average of Avg Salary(K)</c:v>
          </c:tx>
          <c:cat>
            <c:strLit>
              <c:ptCount val="8"/>
              <c:pt idx="0">
                <c:v>10000+ </c:v>
              </c:pt>
              <c:pt idx="1">
                <c:v>1001 - 5000 </c:v>
              </c:pt>
              <c:pt idx="2">
                <c:v>201 - 500 </c:v>
              </c:pt>
              <c:pt idx="3">
                <c:v>5001 - 10000 </c:v>
              </c:pt>
              <c:pt idx="4">
                <c:v>501 - 1000 </c:v>
              </c:pt>
              <c:pt idx="5">
                <c:v>51 - 200 </c:v>
              </c:pt>
              <c:pt idx="6">
                <c:v>unknown</c:v>
              </c:pt>
              <c:pt idx="7">
                <c:v>1/1/1950</c:v>
              </c:pt>
            </c:strLit>
          </c:cat>
          <c:val>
            <c:numLit>
              <c:formatCode>General</c:formatCode>
              <c:ptCount val="8"/>
              <c:pt idx="0">
                <c:v>112.80384615384598</c:v>
              </c:pt>
              <c:pt idx="1">
                <c:v>94.69</c:v>
              </c:pt>
              <c:pt idx="2">
                <c:v>100.24786324786301</c:v>
              </c:pt>
              <c:pt idx="3">
                <c:v>97.486842105263179</c:v>
              </c:pt>
              <c:pt idx="4">
                <c:v>91.503731343283576</c:v>
              </c:pt>
              <c:pt idx="5">
                <c:v>111.77127659574498</c:v>
              </c:pt>
              <c:pt idx="6">
                <c:v>127.05</c:v>
              </c:pt>
              <c:pt idx="7">
                <c:v>105.06451612903201</c:v>
              </c:pt>
            </c:numLit>
          </c:val>
        </c:ser>
        <c:ser>
          <c:idx val="1"/>
          <c:order val="1"/>
          <c:tx>
            <c:v>Average of Upper Salary(in K )</c:v>
          </c:tx>
          <c:cat>
            <c:strLit>
              <c:ptCount val="8"/>
              <c:pt idx="0">
                <c:v>10000+ </c:v>
              </c:pt>
              <c:pt idx="1">
                <c:v>1001 - 5000 </c:v>
              </c:pt>
              <c:pt idx="2">
                <c:v>201 - 500 </c:v>
              </c:pt>
              <c:pt idx="3">
                <c:v>5001 - 10000 </c:v>
              </c:pt>
              <c:pt idx="4">
                <c:v>501 - 1000 </c:v>
              </c:pt>
              <c:pt idx="5">
                <c:v>51 - 200 </c:v>
              </c:pt>
              <c:pt idx="6">
                <c:v>unknown</c:v>
              </c:pt>
              <c:pt idx="7">
                <c:v>1/1/1950</c:v>
              </c:pt>
            </c:strLit>
          </c:cat>
          <c:val>
            <c:numLit>
              <c:formatCode>General</c:formatCode>
              <c:ptCount val="8"/>
              <c:pt idx="0">
                <c:v>141.94615384615398</c:v>
              </c:pt>
              <c:pt idx="1">
                <c:v>120.42666666666702</c:v>
              </c:pt>
              <c:pt idx="2">
                <c:v>128.35897435897405</c:v>
              </c:pt>
              <c:pt idx="3">
                <c:v>124.552631578947</c:v>
              </c:pt>
              <c:pt idx="4">
                <c:v>116.141791044776</c:v>
              </c:pt>
              <c:pt idx="5">
                <c:v>139.07446808510599</c:v>
              </c:pt>
              <c:pt idx="6">
                <c:v>142</c:v>
              </c:pt>
              <c:pt idx="7">
                <c:v>131.54838709677401</c:v>
              </c:pt>
            </c:numLit>
          </c:val>
        </c:ser>
        <c:ser>
          <c:idx val="2"/>
          <c:order val="2"/>
          <c:tx>
            <c:v>Average of Lower Salary(in K)</c:v>
          </c:tx>
          <c:cat>
            <c:strLit>
              <c:ptCount val="8"/>
              <c:pt idx="0">
                <c:v>10000+ </c:v>
              </c:pt>
              <c:pt idx="1">
                <c:v>1001 - 5000 </c:v>
              </c:pt>
              <c:pt idx="2">
                <c:v>201 - 500 </c:v>
              </c:pt>
              <c:pt idx="3">
                <c:v>5001 - 10000 </c:v>
              </c:pt>
              <c:pt idx="4">
                <c:v>501 - 1000 </c:v>
              </c:pt>
              <c:pt idx="5">
                <c:v>51 - 200 </c:v>
              </c:pt>
              <c:pt idx="6">
                <c:v>unknown</c:v>
              </c:pt>
              <c:pt idx="7">
                <c:v>1/1/1950</c:v>
              </c:pt>
            </c:strLit>
          </c:cat>
          <c:val>
            <c:numLit>
              <c:formatCode>General</c:formatCode>
              <c:ptCount val="8"/>
              <c:pt idx="0">
                <c:v>83.661538461538498</c:v>
              </c:pt>
              <c:pt idx="1">
                <c:v>68.953333333333291</c:v>
              </c:pt>
              <c:pt idx="2">
                <c:v>72.136752136752051</c:v>
              </c:pt>
              <c:pt idx="3">
                <c:v>70.421052631578902</c:v>
              </c:pt>
              <c:pt idx="4">
                <c:v>66.865671641790982</c:v>
              </c:pt>
              <c:pt idx="5">
                <c:v>84.468085106382986</c:v>
              </c:pt>
              <c:pt idx="6">
                <c:v>112.1</c:v>
              </c:pt>
              <c:pt idx="7">
                <c:v>78.580645161290306</c:v>
              </c:pt>
            </c:numLit>
          </c:val>
        </c:ser>
        <c:axId val="112732800"/>
        <c:axId val="112771456"/>
      </c:barChart>
      <c:catAx>
        <c:axId val="112732800"/>
        <c:scaling>
          <c:orientation val="minMax"/>
        </c:scaling>
        <c:axPos val="b"/>
        <c:tickLblPos val="nextTo"/>
        <c:crossAx val="112771456"/>
        <c:crosses val="autoZero"/>
        <c:auto val="1"/>
        <c:lblAlgn val="ctr"/>
        <c:lblOffset val="100"/>
      </c:catAx>
      <c:valAx>
        <c:axId val="112771456"/>
        <c:scaling>
          <c:orientation val="minMax"/>
        </c:scaling>
        <c:axPos val="l"/>
        <c:majorGridlines/>
        <c:numFmt formatCode="General" sourceLinked="1"/>
        <c:tickLblPos val="nextTo"/>
        <c:crossAx val="11273280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chart>
    <c:title>
      <c:tx>
        <c:rich>
          <a:bodyPr/>
          <a:lstStyle/>
          <a:p>
            <a:pPr>
              <a:defRPr/>
            </a:pPr>
            <a:r>
              <a:rPr lang="en-US"/>
              <a:t>Pay in the Industry</a:t>
            </a:r>
          </a:p>
        </c:rich>
      </c:tx>
    </c:title>
    <c:pivotFmts>
      <c:pivotFmt>
        <c:idx val="0"/>
      </c:pivotFmt>
      <c:pivotFmt>
        <c:idx val="1"/>
        <c:dLbl>
          <c:idx val="0"/>
          <c:delete val="1"/>
        </c:dLbl>
      </c:pivotFmt>
      <c:pivotFmt>
        <c:idx val="2"/>
      </c:pivotFmt>
      <c:pivotFmt>
        <c:idx val="3"/>
        <c:dLbl>
          <c:idx val="0"/>
          <c:delete val="1"/>
        </c:dLbl>
      </c:pivotFmt>
    </c:pivotFmts>
    <c:plotArea>
      <c:layout/>
      <c:barChart>
        <c:barDir val="bar"/>
        <c:grouping val="clustered"/>
        <c:ser>
          <c:idx val="0"/>
          <c:order val="0"/>
          <c:tx>
            <c:v>Total</c:v>
          </c:tx>
          <c:cat>
            <c:strLit>
              <c:ptCount val="15"/>
              <c:pt idx="0">
                <c:v>Biotech &amp; Pharmaceuticals</c:v>
              </c:pt>
              <c:pt idx="1">
                <c:v>Insurance Carriers</c:v>
              </c:pt>
              <c:pt idx="2">
                <c:v>Computer Hardware &amp; Software</c:v>
              </c:pt>
              <c:pt idx="3">
                <c:v>IT Services</c:v>
              </c:pt>
              <c:pt idx="4">
                <c:v>Health Care Services &amp; Hospitals</c:v>
              </c:pt>
              <c:pt idx="5">
                <c:v>Enterprise Software &amp; Network Solutions</c:v>
              </c:pt>
              <c:pt idx="6">
                <c:v>Internet</c:v>
              </c:pt>
              <c:pt idx="7">
                <c:v>Consulting</c:v>
              </c:pt>
              <c:pt idx="8">
                <c:v>Advertising &amp; Marketing</c:v>
              </c:pt>
              <c:pt idx="9">
                <c:v>Aerospace &amp; Defense</c:v>
              </c:pt>
              <c:pt idx="10">
                <c:v>Consumer Products Manufacturing</c:v>
              </c:pt>
              <c:pt idx="11">
                <c:v>Research &amp; Development</c:v>
              </c:pt>
              <c:pt idx="12">
                <c:v>Colleges &amp; Universities</c:v>
              </c:pt>
              <c:pt idx="13">
                <c:v>Energy</c:v>
              </c:pt>
              <c:pt idx="14">
                <c:v>Banks &amp; Credit Unions</c:v>
              </c:pt>
            </c:strLit>
          </c:cat>
          <c:val>
            <c:numLit>
              <c:formatCode>General</c:formatCode>
              <c:ptCount val="15"/>
              <c:pt idx="0">
                <c:v>112</c:v>
              </c:pt>
              <c:pt idx="1">
                <c:v>63</c:v>
              </c:pt>
              <c:pt idx="2">
                <c:v>59</c:v>
              </c:pt>
              <c:pt idx="3">
                <c:v>50</c:v>
              </c:pt>
              <c:pt idx="4">
                <c:v>49</c:v>
              </c:pt>
              <c:pt idx="5">
                <c:v>42</c:v>
              </c:pt>
              <c:pt idx="6">
                <c:v>29</c:v>
              </c:pt>
              <c:pt idx="7">
                <c:v>29</c:v>
              </c:pt>
              <c:pt idx="8">
                <c:v>25</c:v>
              </c:pt>
              <c:pt idx="9">
                <c:v>25</c:v>
              </c:pt>
              <c:pt idx="10">
                <c:v>20</c:v>
              </c:pt>
              <c:pt idx="11">
                <c:v>19</c:v>
              </c:pt>
              <c:pt idx="12">
                <c:v>16</c:v>
              </c:pt>
              <c:pt idx="13">
                <c:v>14</c:v>
              </c:pt>
              <c:pt idx="14">
                <c:v>12</c:v>
              </c:pt>
            </c:numLit>
          </c:val>
        </c:ser>
        <c:gapWidth val="75"/>
        <c:overlap val="-25"/>
        <c:axId val="114148096"/>
        <c:axId val="114149632"/>
      </c:barChart>
      <c:catAx>
        <c:axId val="114148096"/>
        <c:scaling>
          <c:orientation val="minMax"/>
        </c:scaling>
        <c:axPos val="l"/>
        <c:majorTickMark val="none"/>
        <c:tickLblPos val="nextTo"/>
        <c:crossAx val="114149632"/>
        <c:crosses val="autoZero"/>
        <c:auto val="1"/>
        <c:lblAlgn val="ctr"/>
        <c:lblOffset val="100"/>
      </c:catAx>
      <c:valAx>
        <c:axId val="114149632"/>
        <c:scaling>
          <c:orientation val="minMax"/>
        </c:scaling>
        <c:axPos val="b"/>
        <c:majorGridlines/>
        <c:numFmt formatCode="General" sourceLinked="1"/>
        <c:majorTickMark val="none"/>
        <c:tickLblPos val="nextTo"/>
        <c:crossAx val="114148096"/>
        <c:crosses val="autoZero"/>
        <c:crossBetween val="between"/>
      </c:valAx>
    </c:plotArea>
    <c:legend>
      <c:legendPos val="b"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7"/>
  <c:chart>
    <c:title>
      <c:tx>
        <c:rich>
          <a:bodyPr/>
          <a:lstStyle/>
          <a:p>
            <a:pPr>
              <a:defRPr/>
            </a:pPr>
            <a:r>
              <a:rPr lang="en-US"/>
              <a:t>Jobs in Industries</a:t>
            </a:r>
          </a:p>
        </c:rich>
      </c:tx>
    </c:title>
    <c:pivotFmts>
      <c:pivotFmt>
        <c:idx val="0"/>
      </c:pivotFmt>
      <c:pivotFmt>
        <c:idx val="1"/>
      </c:pivotFmt>
      <c:pivotFmt>
        <c:idx val="2"/>
        <c:dLbl>
          <c:idx val="0"/>
          <c:delete val="1"/>
        </c:dLbl>
      </c:pivotFmt>
      <c:pivotFmt>
        <c:idx val="3"/>
      </c:pivotFmt>
    </c:pivotFmts>
    <c:plotArea>
      <c:layout/>
      <c:barChart>
        <c:barDir val="bar"/>
        <c:grouping val="clustered"/>
        <c:ser>
          <c:idx val="0"/>
          <c:order val="0"/>
          <c:tx>
            <c:v>Total</c:v>
          </c:tx>
          <c:cat>
            <c:strLit>
              <c:ptCount val="15"/>
              <c:pt idx="0">
                <c:v>Biotech &amp; Pharmaceuticals</c:v>
              </c:pt>
              <c:pt idx="1">
                <c:v>Insurance Carriers</c:v>
              </c:pt>
              <c:pt idx="2">
                <c:v>Computer Hardware &amp; Software</c:v>
              </c:pt>
              <c:pt idx="3">
                <c:v>IT Services</c:v>
              </c:pt>
              <c:pt idx="4">
                <c:v>Health Care Services &amp; Hospitals</c:v>
              </c:pt>
              <c:pt idx="5">
                <c:v>Enterprise Software &amp; Network Solutions</c:v>
              </c:pt>
              <c:pt idx="6">
                <c:v>Internet</c:v>
              </c:pt>
              <c:pt idx="7">
                <c:v>Consulting</c:v>
              </c:pt>
              <c:pt idx="8">
                <c:v>Advertising &amp; Marketing</c:v>
              </c:pt>
              <c:pt idx="9">
                <c:v>Aerospace &amp; Defense</c:v>
              </c:pt>
              <c:pt idx="10">
                <c:v>Consumer Products Manufacturing</c:v>
              </c:pt>
              <c:pt idx="11">
                <c:v>Research &amp; Development</c:v>
              </c:pt>
              <c:pt idx="12">
                <c:v>Colleges &amp; Universities</c:v>
              </c:pt>
              <c:pt idx="13">
                <c:v>Energy</c:v>
              </c:pt>
              <c:pt idx="14">
                <c:v>Banks &amp; Credit Unions</c:v>
              </c:pt>
            </c:strLit>
          </c:cat>
          <c:val>
            <c:numLit>
              <c:formatCode>General</c:formatCode>
              <c:ptCount val="15"/>
              <c:pt idx="0">
                <c:v>112</c:v>
              </c:pt>
              <c:pt idx="1">
                <c:v>63</c:v>
              </c:pt>
              <c:pt idx="2">
                <c:v>59</c:v>
              </c:pt>
              <c:pt idx="3">
                <c:v>50</c:v>
              </c:pt>
              <c:pt idx="4">
                <c:v>49</c:v>
              </c:pt>
              <c:pt idx="5">
                <c:v>42</c:v>
              </c:pt>
              <c:pt idx="6">
                <c:v>29</c:v>
              </c:pt>
              <c:pt idx="7">
                <c:v>29</c:v>
              </c:pt>
              <c:pt idx="8">
                <c:v>25</c:v>
              </c:pt>
              <c:pt idx="9">
                <c:v>25</c:v>
              </c:pt>
              <c:pt idx="10">
                <c:v>20</c:v>
              </c:pt>
              <c:pt idx="11">
                <c:v>19</c:v>
              </c:pt>
              <c:pt idx="12">
                <c:v>16</c:v>
              </c:pt>
              <c:pt idx="13">
                <c:v>14</c:v>
              </c:pt>
              <c:pt idx="14">
                <c:v>12</c:v>
              </c:pt>
            </c:numLit>
          </c:val>
        </c:ser>
        <c:axId val="114247552"/>
        <c:axId val="114249088"/>
      </c:barChart>
      <c:catAx>
        <c:axId val="114247552"/>
        <c:scaling>
          <c:orientation val="minMax"/>
        </c:scaling>
        <c:axPos val="l"/>
        <c:majorTickMark val="none"/>
        <c:tickLblPos val="nextTo"/>
        <c:crossAx val="114249088"/>
        <c:crosses val="autoZero"/>
        <c:auto val="1"/>
        <c:lblAlgn val="ctr"/>
        <c:lblOffset val="100"/>
      </c:catAx>
      <c:valAx>
        <c:axId val="114249088"/>
        <c:scaling>
          <c:orientation val="minMax"/>
        </c:scaling>
        <c:axPos val="b"/>
        <c:majorGridlines/>
        <c:numFmt formatCode="General" sourceLinked="1"/>
        <c:majorTickMark val="none"/>
        <c:tickLblPos val="nextTo"/>
        <c:crossAx val="114247552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8"/>
  <c:chart>
    <c:title>
      <c:tx>
        <c:rich>
          <a:bodyPr/>
          <a:lstStyle/>
          <a:p>
            <a:pPr>
              <a:defRPr/>
            </a:pPr>
            <a:r>
              <a:rPr lang="en-US"/>
              <a:t>Highest-Paying Cities for Data Scientists</a:t>
            </a:r>
          </a:p>
        </c:rich>
      </c:tx>
    </c:title>
    <c:pivotFmts>
      <c:pivotFmt>
        <c:idx val="0"/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v>Total</c:v>
          </c:tx>
          <c:cat>
            <c:strLit>
              <c:ptCount val="16"/>
              <c:pt idx="0">
                <c:v>Bellevue</c:v>
              </c:pt>
              <c:pt idx="1">
                <c:v>Brisbane</c:v>
              </c:pt>
              <c:pt idx="2">
                <c:v>Burbank</c:v>
              </c:pt>
              <c:pt idx="3">
                <c:v>Cupertino</c:v>
              </c:pt>
              <c:pt idx="4">
                <c:v>Emeryville</c:v>
              </c:pt>
              <c:pt idx="5">
                <c:v>Fort Lee</c:v>
              </c:pt>
              <c:pt idx="6">
                <c:v>Foster City</c:v>
              </c:pt>
              <c:pt idx="7">
                <c:v>Jersey City</c:v>
              </c:pt>
              <c:pt idx="8">
                <c:v>Lake Forest</c:v>
              </c:pt>
              <c:pt idx="9">
                <c:v>Marlborough</c:v>
              </c:pt>
              <c:pt idx="10">
                <c:v>Mountain View</c:v>
              </c:pt>
              <c:pt idx="11">
                <c:v>Natick</c:v>
              </c:pt>
              <c:pt idx="12">
                <c:v>Newark</c:v>
              </c:pt>
              <c:pt idx="13">
                <c:v>Novato</c:v>
              </c:pt>
              <c:pt idx="14">
                <c:v>Saint Louis</c:v>
              </c:pt>
              <c:pt idx="15">
                <c:v>San Jose</c:v>
              </c:pt>
            </c:strLit>
          </c:cat>
          <c:val>
            <c:numLit>
              <c:formatCode>General</c:formatCode>
              <c:ptCount val="16"/>
              <c:pt idx="0">
                <c:v>184.5</c:v>
              </c:pt>
              <c:pt idx="1">
                <c:v>143.5</c:v>
              </c:pt>
              <c:pt idx="2">
                <c:v>164</c:v>
              </c:pt>
              <c:pt idx="3">
                <c:v>142</c:v>
              </c:pt>
              <c:pt idx="4">
                <c:v>153</c:v>
              </c:pt>
              <c:pt idx="5">
                <c:v>145.66666666666697</c:v>
              </c:pt>
              <c:pt idx="6">
                <c:v>139.5</c:v>
              </c:pt>
              <c:pt idx="7">
                <c:v>144.75</c:v>
              </c:pt>
              <c:pt idx="8">
                <c:v>179.5</c:v>
              </c:pt>
              <c:pt idx="9">
                <c:v>142</c:v>
              </c:pt>
              <c:pt idx="10">
                <c:v>177.1875</c:v>
              </c:pt>
              <c:pt idx="11">
                <c:v>139.5</c:v>
              </c:pt>
              <c:pt idx="12">
                <c:v>146</c:v>
              </c:pt>
              <c:pt idx="13">
                <c:v>168</c:v>
              </c:pt>
              <c:pt idx="14">
                <c:v>143.5</c:v>
              </c:pt>
              <c:pt idx="15">
                <c:v>142.461538461538</c:v>
              </c:pt>
            </c:numLit>
          </c:val>
        </c:ser>
        <c:axId val="114302336"/>
        <c:axId val="114320512"/>
      </c:barChart>
      <c:catAx>
        <c:axId val="114302336"/>
        <c:scaling>
          <c:orientation val="minMax"/>
        </c:scaling>
        <c:axPos val="b"/>
        <c:tickLblPos val="nextTo"/>
        <c:crossAx val="114320512"/>
        <c:crosses val="autoZero"/>
        <c:auto val="1"/>
        <c:lblAlgn val="ctr"/>
        <c:lblOffset val="100"/>
      </c:catAx>
      <c:valAx>
        <c:axId val="114320512"/>
        <c:scaling>
          <c:orientation val="minMax"/>
        </c:scaling>
        <c:axPos val="l"/>
        <c:majorGridlines/>
        <c:numFmt formatCode="General" sourceLinked="1"/>
        <c:tickLblPos val="nextTo"/>
        <c:crossAx val="114302336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pivotSource>
    <c:name>[riya_work.xlsx]CityCount!PivotTable1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 Data Science Job Hubs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spPr>
          <a:solidFill>
            <a:srgbClr val="00B0F0"/>
          </a:solidFill>
        </c:spPr>
      </c:pivotFmt>
      <c:pivotFmt>
        <c:idx val="2"/>
        <c:spPr>
          <a:solidFill>
            <a:srgbClr val="00B0F0"/>
          </a:solidFill>
        </c:spPr>
      </c:pivotFmt>
      <c:pivotFmt>
        <c:idx val="3"/>
        <c:spPr>
          <a:solidFill>
            <a:srgbClr val="00B0F0"/>
          </a:solidFill>
        </c:spP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CityCount!$B$3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spPr>
              <a:solidFill>
                <a:srgbClr val="00B0F0"/>
              </a:solidFill>
            </c:spPr>
          </c:dPt>
          <c:dPt>
            <c:idx val="1"/>
            <c:spPr>
              <a:solidFill>
                <a:srgbClr val="00B0F0"/>
              </a:solidFill>
            </c:spPr>
          </c:dPt>
          <c:dPt>
            <c:idx val="2"/>
            <c:spPr>
              <a:solidFill>
                <a:srgbClr val="00B0F0"/>
              </a:solidFill>
            </c:spPr>
          </c:dPt>
          <c:cat>
            <c:strRef>
              <c:f>CityCount!$A$4:$A$19</c:f>
              <c:strCache>
                <c:ptCount val="15"/>
                <c:pt idx="0">
                  <c:v>New York</c:v>
                </c:pt>
                <c:pt idx="1">
                  <c:v>San Francisco</c:v>
                </c:pt>
                <c:pt idx="2">
                  <c:v>Cambridge</c:v>
                </c:pt>
                <c:pt idx="3">
                  <c:v>Chicago</c:v>
                </c:pt>
                <c:pt idx="4">
                  <c:v>Boston</c:v>
                </c:pt>
                <c:pt idx="5">
                  <c:v>San Jose</c:v>
                </c:pt>
                <c:pt idx="6">
                  <c:v>Pittsburgh</c:v>
                </c:pt>
                <c:pt idx="7">
                  <c:v>Rockville</c:v>
                </c:pt>
                <c:pt idx="8">
                  <c:v>Washington</c:v>
                </c:pt>
                <c:pt idx="9">
                  <c:v>Springfield</c:v>
                </c:pt>
                <c:pt idx="10">
                  <c:v>Winston-Salem</c:v>
                </c:pt>
                <c:pt idx="11">
                  <c:v>Herndon</c:v>
                </c:pt>
                <c:pt idx="12">
                  <c:v>Richland</c:v>
                </c:pt>
                <c:pt idx="13">
                  <c:v>Indianapolis</c:v>
                </c:pt>
                <c:pt idx="14">
                  <c:v>San Diego</c:v>
                </c:pt>
              </c:strCache>
            </c:strRef>
          </c:cat>
          <c:val>
            <c:numRef>
              <c:f>CityCount!$B$4:$B$19</c:f>
              <c:numCache>
                <c:formatCode>General</c:formatCode>
                <c:ptCount val="15"/>
                <c:pt idx="0">
                  <c:v>55</c:v>
                </c:pt>
                <c:pt idx="1">
                  <c:v>49</c:v>
                </c:pt>
                <c:pt idx="2">
                  <c:v>48</c:v>
                </c:pt>
                <c:pt idx="3">
                  <c:v>32</c:v>
                </c:pt>
                <c:pt idx="4">
                  <c:v>23</c:v>
                </c:pt>
                <c:pt idx="5">
                  <c:v>13</c:v>
                </c:pt>
                <c:pt idx="6">
                  <c:v>12</c:v>
                </c:pt>
                <c:pt idx="7">
                  <c:v>11</c:v>
                </c:pt>
                <c:pt idx="8">
                  <c:v>11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9</c:v>
                </c:pt>
                <c:pt idx="14">
                  <c:v>9</c:v>
                </c:pt>
              </c:numCache>
            </c:numRef>
          </c:val>
        </c:ser>
        <c:axId val="114515328"/>
        <c:axId val="114529408"/>
      </c:barChart>
      <c:catAx>
        <c:axId val="114515328"/>
        <c:scaling>
          <c:orientation val="minMax"/>
        </c:scaling>
        <c:axPos val="l"/>
        <c:tickLblPos val="nextTo"/>
        <c:crossAx val="114529408"/>
        <c:crosses val="autoZero"/>
        <c:auto val="1"/>
        <c:lblAlgn val="ctr"/>
        <c:lblOffset val="100"/>
      </c:catAx>
      <c:valAx>
        <c:axId val="114529408"/>
        <c:scaling>
          <c:orientation val="minMax"/>
        </c:scaling>
        <c:axPos val="b"/>
        <c:majorGridlines/>
        <c:numFmt formatCode="General" sourceLinked="1"/>
        <c:tickLblPos val="nextTo"/>
        <c:crossAx val="11451532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7"/>
  <c:chart>
    <c:title>
      <c:tx>
        <c:rich>
          <a:bodyPr/>
          <a:lstStyle/>
          <a:p>
            <a:pPr>
              <a:defRPr/>
            </a:pPr>
            <a:r>
              <a:rPr lang="en-US"/>
              <a:t>Most In Demand Data Roles</a:t>
            </a:r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</c:pivotFmt>
    </c:pivotFmts>
    <c:plotArea>
      <c:layout/>
      <c:barChart>
        <c:barDir val="bar"/>
        <c:grouping val="clustered"/>
        <c:ser>
          <c:idx val="0"/>
          <c:order val="0"/>
          <c:tx>
            <c:v>Total</c:v>
          </c:tx>
          <c:cat>
            <c:strLit>
              <c:ptCount val="7"/>
              <c:pt idx="0">
                <c:v>Data Analyst</c:v>
              </c:pt>
              <c:pt idx="1">
                <c:v>Data Engineer</c:v>
              </c:pt>
              <c:pt idx="2">
                <c:v>Data Scientist</c:v>
              </c:pt>
              <c:pt idx="3">
                <c:v>Director/VP</c:v>
              </c:pt>
              <c:pt idx="4">
                <c:v>DS Manager</c:v>
              </c:pt>
              <c:pt idx="5">
                <c:v>ML Engineer</c:v>
              </c:pt>
              <c:pt idx="6">
                <c:v>Research Scientist</c:v>
              </c:pt>
            </c:strLit>
          </c:cat>
          <c:val>
            <c:numLit>
              <c:formatCode>General</c:formatCode>
              <c:ptCount val="7"/>
              <c:pt idx="0">
                <c:v>99</c:v>
              </c:pt>
              <c:pt idx="1">
                <c:v>119</c:v>
              </c:pt>
              <c:pt idx="2">
                <c:v>435</c:v>
              </c:pt>
              <c:pt idx="3">
                <c:v>14</c:v>
              </c:pt>
              <c:pt idx="4">
                <c:v>25</c:v>
              </c:pt>
              <c:pt idx="5">
                <c:v>29</c:v>
              </c:pt>
              <c:pt idx="6">
                <c:v>21</c:v>
              </c:pt>
            </c:numLit>
          </c:val>
        </c:ser>
        <c:gapWidth val="75"/>
        <c:overlap val="-25"/>
        <c:axId val="114594944"/>
        <c:axId val="114596480"/>
      </c:barChart>
      <c:catAx>
        <c:axId val="114594944"/>
        <c:scaling>
          <c:orientation val="minMax"/>
        </c:scaling>
        <c:axPos val="l"/>
        <c:majorTickMark val="none"/>
        <c:tickLblPos val="nextTo"/>
        <c:crossAx val="114596480"/>
        <c:crosses val="autoZero"/>
        <c:auto val="1"/>
        <c:lblAlgn val="ctr"/>
        <c:lblOffset val="100"/>
      </c:catAx>
      <c:valAx>
        <c:axId val="114596480"/>
        <c:scaling>
          <c:orientation val="minMax"/>
        </c:scaling>
        <c:axPos val="b"/>
        <c:majorGridlines/>
        <c:numFmt formatCode="General" sourceLinked="1"/>
        <c:majorTickMark val="none"/>
        <c:tickLblPos val="nextTo"/>
        <c:spPr>
          <a:ln w="9525">
            <a:noFill/>
          </a:ln>
        </c:spPr>
        <c:crossAx val="114594944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Salary</a:t>
            </a:r>
            <a:r>
              <a:rPr lang="en-US" baseline="0"/>
              <a:t> Range by Job Title</a:t>
            </a:r>
            <a:endParaRPr lang="en-US"/>
          </a:p>
        </c:rich>
      </c:tx>
      <c:layout/>
    </c:title>
    <c:pivotFmts>
      <c:pivotFmt>
        <c:idx val="0"/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7289987266443185"/>
          <c:y val="2.5830771153605811E-2"/>
          <c:w val="0.5293721057145081"/>
          <c:h val="0.61046835812190148"/>
        </c:manualLayout>
      </c:layout>
      <c:barChart>
        <c:barDir val="col"/>
        <c:grouping val="clustered"/>
        <c:ser>
          <c:idx val="0"/>
          <c:order val="0"/>
          <c:tx>
            <c:v>Average of Lower Salary(in K)</c:v>
          </c:tx>
          <c:cat>
            <c:strLit>
              <c:ptCount val="7"/>
              <c:pt idx="0">
                <c:v>Data Analyst</c:v>
              </c:pt>
              <c:pt idx="1">
                <c:v>Data Engineer</c:v>
              </c:pt>
              <c:pt idx="2">
                <c:v>Data Scientist</c:v>
              </c:pt>
              <c:pt idx="3">
                <c:v>Director/VP</c:v>
              </c:pt>
              <c:pt idx="4">
                <c:v>DS Manager</c:v>
              </c:pt>
              <c:pt idx="5">
                <c:v>ML Engineer</c:v>
              </c:pt>
              <c:pt idx="6">
                <c:v>Research Scientist</c:v>
              </c:pt>
            </c:strLit>
          </c:cat>
          <c:val>
            <c:numLit>
              <c:formatCode>General</c:formatCode>
              <c:ptCount val="7"/>
              <c:pt idx="0">
                <c:v>46.313131313131301</c:v>
              </c:pt>
              <c:pt idx="1">
                <c:v>76.151260504201701</c:v>
              </c:pt>
              <c:pt idx="2">
                <c:v>79.344827586206904</c:v>
              </c:pt>
              <c:pt idx="3">
                <c:v>129</c:v>
              </c:pt>
              <c:pt idx="4">
                <c:v>65.52</c:v>
              </c:pt>
              <c:pt idx="5">
                <c:v>85.27586206896548</c:v>
              </c:pt>
              <c:pt idx="6">
                <c:v>66.142857142857039</c:v>
              </c:pt>
            </c:numLit>
          </c:val>
        </c:ser>
        <c:ser>
          <c:idx val="1"/>
          <c:order val="1"/>
          <c:tx>
            <c:v>Average of Upper Salary(in K )</c:v>
          </c:tx>
          <c:cat>
            <c:strLit>
              <c:ptCount val="7"/>
              <c:pt idx="0">
                <c:v>Data Analyst</c:v>
              </c:pt>
              <c:pt idx="1">
                <c:v>Data Engineer</c:v>
              </c:pt>
              <c:pt idx="2">
                <c:v>Data Scientist</c:v>
              </c:pt>
              <c:pt idx="3">
                <c:v>Director/VP</c:v>
              </c:pt>
              <c:pt idx="4">
                <c:v>DS Manager</c:v>
              </c:pt>
              <c:pt idx="5">
                <c:v>ML Engineer</c:v>
              </c:pt>
              <c:pt idx="6">
                <c:v>Research Scientist</c:v>
              </c:pt>
            </c:strLit>
          </c:cat>
          <c:val>
            <c:numLit>
              <c:formatCode>General</c:formatCode>
              <c:ptCount val="7"/>
              <c:pt idx="0">
                <c:v>83.494949494949552</c:v>
              </c:pt>
              <c:pt idx="1">
                <c:v>134.65546218487398</c:v>
              </c:pt>
              <c:pt idx="2">
                <c:v>133.38160919540201</c:v>
              </c:pt>
              <c:pt idx="3">
                <c:v>208.21428571428589</c:v>
              </c:pt>
              <c:pt idx="4">
                <c:v>120.92</c:v>
              </c:pt>
              <c:pt idx="5">
                <c:v>152.03448275862101</c:v>
              </c:pt>
              <c:pt idx="6">
                <c:v>117.95238095238093</c:v>
              </c:pt>
            </c:numLit>
          </c:val>
        </c:ser>
        <c:ser>
          <c:idx val="2"/>
          <c:order val="2"/>
          <c:tx>
            <c:v>Average of Avg Salary(K)</c:v>
          </c:tx>
          <c:cat>
            <c:strLit>
              <c:ptCount val="7"/>
              <c:pt idx="0">
                <c:v>Data Analyst</c:v>
              </c:pt>
              <c:pt idx="1">
                <c:v>Data Engineer</c:v>
              </c:pt>
              <c:pt idx="2">
                <c:v>Data Scientist</c:v>
              </c:pt>
              <c:pt idx="3">
                <c:v>Director/VP</c:v>
              </c:pt>
              <c:pt idx="4">
                <c:v>DS Manager</c:v>
              </c:pt>
              <c:pt idx="5">
                <c:v>ML Engineer</c:v>
              </c:pt>
              <c:pt idx="6">
                <c:v>Research Scientist</c:v>
              </c:pt>
            </c:strLit>
          </c:cat>
          <c:val>
            <c:numLit>
              <c:formatCode>General</c:formatCode>
              <c:ptCount val="7"/>
              <c:pt idx="0">
                <c:v>64.904040404040444</c:v>
              </c:pt>
              <c:pt idx="1">
                <c:v>105.403361344538</c:v>
              </c:pt>
              <c:pt idx="2">
                <c:v>106.363218390805</c:v>
              </c:pt>
              <c:pt idx="3">
                <c:v>168.60714285714309</c:v>
              </c:pt>
              <c:pt idx="4">
                <c:v>93.22</c:v>
              </c:pt>
              <c:pt idx="5">
                <c:v>118.65517241379291</c:v>
              </c:pt>
              <c:pt idx="6">
                <c:v>92.04761904761915</c:v>
              </c:pt>
            </c:numLit>
          </c:val>
        </c:ser>
        <c:axId val="114680192"/>
        <c:axId val="114681728"/>
      </c:barChart>
      <c:catAx>
        <c:axId val="114680192"/>
        <c:scaling>
          <c:orientation val="minMax"/>
        </c:scaling>
        <c:axPos val="b"/>
        <c:tickLblPos val="nextTo"/>
        <c:crossAx val="114681728"/>
        <c:crosses val="autoZero"/>
        <c:auto val="1"/>
        <c:lblAlgn val="ctr"/>
        <c:lblOffset val="100"/>
      </c:catAx>
      <c:valAx>
        <c:axId val="114681728"/>
        <c:scaling>
          <c:orientation val="minMax"/>
        </c:scaling>
        <c:axPos val="l"/>
        <c:majorGridlines/>
        <c:numFmt formatCode="General" sourceLinked="1"/>
        <c:tickLblPos val="nextTo"/>
        <c:crossAx val="11468019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Rating</a:t>
            </a:r>
            <a:r>
              <a:rPr lang="en-US" baseline="0"/>
              <a:t> Band Pivot </a:t>
            </a:r>
            <a:endParaRPr lang="en-US"/>
          </a:p>
        </c:rich>
      </c:tx>
      <c:layout>
        <c:manualLayout>
          <c:xMode val="edge"/>
          <c:yMode val="edge"/>
          <c:x val="0.54492366579177609"/>
          <c:y val="0.16203703703703703"/>
        </c:manualLayout>
      </c:layout>
      <c:overlay val="1"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v>Average of Avg Salary(K)</c:v>
          </c:tx>
          <c:cat>
            <c:strLit>
              <c:ptCount val="5"/>
              <c:pt idx="0">
                <c:v>3.0–3.5</c:v>
              </c:pt>
              <c:pt idx="1">
                <c:v>3.5–4.0</c:v>
              </c:pt>
              <c:pt idx="2">
                <c:v>4.0–4.5</c:v>
              </c:pt>
              <c:pt idx="3">
                <c:v>4.5+</c:v>
              </c:pt>
              <c:pt idx="4">
                <c:v>Under 3.0</c:v>
              </c:pt>
            </c:strLit>
          </c:cat>
          <c:val>
            <c:numLit>
              <c:formatCode>General</c:formatCode>
              <c:ptCount val="5"/>
              <c:pt idx="0">
                <c:v>97.106250000000003</c:v>
              </c:pt>
              <c:pt idx="1">
                <c:v>102.891071428571</c:v>
              </c:pt>
              <c:pt idx="2">
                <c:v>106.550955414013</c:v>
              </c:pt>
              <c:pt idx="3">
                <c:v>103.48387096774201</c:v>
              </c:pt>
              <c:pt idx="4">
                <c:v>87.6736111111111</c:v>
              </c:pt>
            </c:numLit>
          </c:val>
        </c:ser>
        <c:ser>
          <c:idx val="1"/>
          <c:order val="1"/>
          <c:tx>
            <c:v>Count of Job Title</c:v>
          </c:tx>
          <c:cat>
            <c:strLit>
              <c:ptCount val="5"/>
              <c:pt idx="0">
                <c:v>3.0–3.5</c:v>
              </c:pt>
              <c:pt idx="1">
                <c:v>3.5–4.0</c:v>
              </c:pt>
              <c:pt idx="2">
                <c:v>4.0–4.5</c:v>
              </c:pt>
              <c:pt idx="3">
                <c:v>4.5+</c:v>
              </c:pt>
              <c:pt idx="4">
                <c:v>Under 3.0</c:v>
              </c:pt>
            </c:strLit>
          </c:cat>
          <c:val>
            <c:numLit>
              <c:formatCode>General</c:formatCode>
              <c:ptCount val="5"/>
              <c:pt idx="0">
                <c:v>160</c:v>
              </c:pt>
              <c:pt idx="1">
                <c:v>280</c:v>
              </c:pt>
              <c:pt idx="2">
                <c:v>157</c:v>
              </c:pt>
              <c:pt idx="3">
                <c:v>62</c:v>
              </c:pt>
              <c:pt idx="4">
                <c:v>72</c:v>
              </c:pt>
            </c:numLit>
          </c:val>
        </c:ser>
        <c:axId val="87516288"/>
        <c:axId val="103652352"/>
      </c:barChart>
      <c:catAx>
        <c:axId val="87516288"/>
        <c:scaling>
          <c:orientation val="minMax"/>
        </c:scaling>
        <c:axPos val="b"/>
        <c:tickLblPos val="nextTo"/>
        <c:crossAx val="103652352"/>
        <c:crosses val="autoZero"/>
        <c:auto val="1"/>
        <c:lblAlgn val="ctr"/>
        <c:lblOffset val="100"/>
      </c:catAx>
      <c:valAx>
        <c:axId val="103652352"/>
        <c:scaling>
          <c:orientation val="minMax"/>
        </c:scaling>
        <c:axPos val="l"/>
        <c:majorGridlines/>
        <c:numFmt formatCode="General" sourceLinked="1"/>
        <c:tickLblPos val="nextTo"/>
        <c:crossAx val="8751628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scatterChart>
        <c:scatterStyle val="lineMarker"/>
        <c:ser>
          <c:idx val="0"/>
          <c:order val="0"/>
          <c:tx>
            <c:strRef>
              <c:f>'Rating Band'!$A$732:$B$732</c:f>
              <c:strCache>
                <c:ptCount val="1"/>
                <c:pt idx="0">
                  <c:v>3.5–4.0 93.5</c:v>
                </c:pt>
              </c:strCache>
            </c:strRef>
          </c:tx>
          <c:spPr>
            <a:ln w="28575">
              <a:noFill/>
            </a:ln>
          </c:spPr>
          <c:xVal>
            <c:strRef>
              <c:f>'Rating Band'!$C$1:$C$731</c:f>
              <c:strCache>
                <c:ptCount val="731"/>
                <c:pt idx="0">
                  <c:v>Job Title</c:v>
                </c:pt>
                <c:pt idx="1">
                  <c:v>Data Scientist</c:v>
                </c:pt>
                <c:pt idx="2">
                  <c:v>Healthcare Data Scientist</c:v>
                </c:pt>
                <c:pt idx="3">
                  <c:v>Data Scientist</c:v>
                </c:pt>
                <c:pt idx="4">
                  <c:v>Data Scientist</c:v>
                </c:pt>
                <c:pt idx="5">
                  <c:v>Data Scientist</c:v>
                </c:pt>
                <c:pt idx="6">
                  <c:v>Data Scientist</c:v>
                </c:pt>
                <c:pt idx="7">
                  <c:v>Data Scientist</c:v>
                </c:pt>
                <c:pt idx="8">
                  <c:v>Data Scientist</c:v>
                </c:pt>
                <c:pt idx="9">
                  <c:v>Research Scientist</c:v>
                </c:pt>
                <c:pt idx="10">
                  <c:v>Data Scientist</c:v>
                </c:pt>
                <c:pt idx="11">
                  <c:v>Data Scientist</c:v>
                </c:pt>
                <c:pt idx="12">
                  <c:v>Data Scientist</c:v>
                </c:pt>
                <c:pt idx="13">
                  <c:v>Staff Data Scientist - Technology</c:v>
                </c:pt>
                <c:pt idx="14">
                  <c:v>Data Analyst</c:v>
                </c:pt>
                <c:pt idx="15">
                  <c:v>Data Scientist</c:v>
                </c:pt>
                <c:pt idx="16">
                  <c:v>Data Engineer I</c:v>
                </c:pt>
                <c:pt idx="17">
                  <c:v>Scientist I/II, Biology</c:v>
                </c:pt>
                <c:pt idx="18">
                  <c:v>Customer Data Scientist</c:v>
                </c:pt>
                <c:pt idx="19">
                  <c:v>Data Scientist - Health Data Analytics</c:v>
                </c:pt>
                <c:pt idx="20">
                  <c:v>Data Scientist</c:v>
                </c:pt>
                <c:pt idx="21">
                  <c:v>Data Scientist</c:v>
                </c:pt>
                <c:pt idx="22">
                  <c:v>Senior Data Scientist / Machine Learning</c:v>
                </c:pt>
                <c:pt idx="23">
                  <c:v>Data Scientist - Quantitative</c:v>
                </c:pt>
                <c:pt idx="24">
                  <c:v>Data Scientist</c:v>
                </c:pt>
                <c:pt idx="25">
                  <c:v>Data Scientist</c:v>
                </c:pt>
                <c:pt idx="26">
                  <c:v>Digital Health Data Scientist</c:v>
                </c:pt>
                <c:pt idx="27">
                  <c:v>Data Scientist</c:v>
                </c:pt>
                <c:pt idx="28">
                  <c:v>Associate Data Analyst</c:v>
                </c:pt>
                <c:pt idx="29">
                  <c:v>Clinical Data Scientist</c:v>
                </c:pt>
                <c:pt idx="30">
                  <c:v>Data Scientist</c:v>
                </c:pt>
                <c:pt idx="31">
                  <c:v>Data Scientist</c:v>
                </c:pt>
                <c:pt idx="32">
                  <c:v>Data Scientist</c:v>
                </c:pt>
                <c:pt idx="33">
                  <c:v>Data Scientist / Machine Learning Expert</c:v>
                </c:pt>
                <c:pt idx="34">
                  <c:v>Data Scientist</c:v>
                </c:pt>
                <c:pt idx="35">
                  <c:v>Data Scientist</c:v>
                </c:pt>
                <c:pt idx="36">
                  <c:v>Web Data Analyst</c:v>
                </c:pt>
                <c:pt idx="37">
                  <c:v>Data Scientist</c:v>
                </c:pt>
                <c:pt idx="38">
                  <c:v>Data Scientist</c:v>
                </c:pt>
                <c:pt idx="39">
                  <c:v>Senior Data Scientist</c:v>
                </c:pt>
                <c:pt idx="40">
                  <c:v>Data Engineer</c:v>
                </c:pt>
                <c:pt idx="41">
                  <c:v>Data Analyst</c:v>
                </c:pt>
                <c:pt idx="42">
                  <c:v>Data Engineer</c:v>
                </c:pt>
                <c:pt idx="43">
                  <c:v>Data Scientist - Algorithms &amp; Inference</c:v>
                </c:pt>
                <c:pt idx="44">
                  <c:v>Scientist</c:v>
                </c:pt>
                <c:pt idx="45">
                  <c:v>Senior Data Scientist</c:v>
                </c:pt>
                <c:pt idx="46">
                  <c:v>Data Scientist</c:v>
                </c:pt>
                <c:pt idx="47">
                  <c:v>Lead Data Scientist</c:v>
                </c:pt>
                <c:pt idx="48">
                  <c:v>Associate Data Analyst</c:v>
                </c:pt>
                <c:pt idx="49">
                  <c:v>Spectral Scientist/Engineer</c:v>
                </c:pt>
                <c:pt idx="50">
                  <c:v>College Hire - Data Scientist - Open to December 2019 Graduates</c:v>
                </c:pt>
                <c:pt idx="51">
                  <c:v>Data Scientist</c:v>
                </c:pt>
                <c:pt idx="52">
                  <c:v>Data Scientist, Office of Data Science</c:v>
                </c:pt>
                <c:pt idx="53">
                  <c:v>Data Science Analyst</c:v>
                </c:pt>
                <c:pt idx="54">
                  <c:v>Data Scientist</c:v>
                </c:pt>
                <c:pt idx="55">
                  <c:v>Data Scientist</c:v>
                </c:pt>
                <c:pt idx="56">
                  <c:v>Data Scientist</c:v>
                </c:pt>
                <c:pt idx="57">
                  <c:v>Data Scientist</c:v>
                </c:pt>
                <c:pt idx="58">
                  <c:v>Data Scientist</c:v>
                </c:pt>
                <c:pt idx="59">
                  <c:v>Data Scientist</c:v>
                </c:pt>
                <c:pt idx="60">
                  <c:v>Data Scientist</c:v>
                </c:pt>
                <c:pt idx="61">
                  <c:v>Senior Data Scientist</c:v>
                </c:pt>
                <c:pt idx="62">
                  <c:v>Data Scientist</c:v>
                </c:pt>
                <c:pt idx="63">
                  <c:v>Senior Risk Data Scientist</c:v>
                </c:pt>
                <c:pt idx="64">
                  <c:v>Data Scientist in Artificial Intelligence Early Career</c:v>
                </c:pt>
                <c:pt idx="65">
                  <c:v>Data Scientist</c:v>
                </c:pt>
                <c:pt idx="66">
                  <c:v>Data Scientist</c:v>
                </c:pt>
                <c:pt idx="67">
                  <c:v>Data Scientist</c:v>
                </c:pt>
                <c:pt idx="68">
                  <c:v>Data Scientist - Research</c:v>
                </c:pt>
                <c:pt idx="69">
                  <c:v>Data Scientist</c:v>
                </c:pt>
                <c:pt idx="70">
                  <c:v>R&amp;D Data Analysis Scientist</c:v>
                </c:pt>
                <c:pt idx="71">
                  <c:v>Analytics Consultant</c:v>
                </c:pt>
                <c:pt idx="72">
                  <c:v>Director, Data Science</c:v>
                </c:pt>
                <c:pt idx="73">
                  <c:v>Scientist</c:v>
                </c:pt>
                <c:pt idx="74">
                  <c:v>Data Scientist SR</c:v>
                </c:pt>
                <c:pt idx="75">
                  <c:v>Data Scientist</c:v>
                </c:pt>
                <c:pt idx="76">
                  <c:v>R&amp;D Sr Data Scientist</c:v>
                </c:pt>
                <c:pt idx="77">
                  <c:v>Customer Data Scientist/Sales Engineer (Bay</c:v>
                </c:pt>
                <c:pt idx="78">
                  <c:v>Research Scientist</c:v>
                </c:pt>
                <c:pt idx="79">
                  <c:v>Data Scientist</c:v>
                </c:pt>
                <c:pt idx="80">
                  <c:v>Data Scientist</c:v>
                </c:pt>
                <c:pt idx="81">
                  <c:v>Data Scientist</c:v>
                </c:pt>
                <c:pt idx="82">
                  <c:v>Jr. Business Data Analyst</c:v>
                </c:pt>
                <c:pt idx="83">
                  <c:v>Data Scientist</c:v>
                </c:pt>
                <c:pt idx="84">
                  <c:v>Data Analyst</c:v>
                </c:pt>
                <c:pt idx="85">
                  <c:v>Data Engineer</c:v>
                </c:pt>
                <c:pt idx="86">
                  <c:v>Data Analyst</c:v>
                </c:pt>
                <c:pt idx="87">
                  <c:v>Staff Data Scientist - Technology</c:v>
                </c:pt>
                <c:pt idx="88">
                  <c:v>Data Scientist</c:v>
                </c:pt>
                <c:pt idx="89">
                  <c:v>Data Scientist</c:v>
                </c:pt>
                <c:pt idx="90">
                  <c:v>Data Management Specialist</c:v>
                </c:pt>
                <c:pt idx="91">
                  <c:v>E-Commerce Data Analyst</c:v>
                </c:pt>
                <c:pt idx="92">
                  <c:v>Sr. Scientist II</c:v>
                </c:pt>
                <c:pt idx="93">
                  <c:v>Insurance Data Scientist</c:v>
                </c:pt>
                <c:pt idx="94">
                  <c:v>Data Modeler</c:v>
                </c:pt>
                <c:pt idx="95">
                  <c:v>Data Analyst / Scientist</c:v>
                </c:pt>
                <c:pt idx="96">
                  <c:v>Scientist</c:v>
                </c:pt>
                <c:pt idx="97">
                  <c:v>Data Scientist</c:v>
                </c:pt>
                <c:pt idx="98">
                  <c:v>Data Scientist</c:v>
                </c:pt>
                <c:pt idx="99">
                  <c:v>Data Analyst</c:v>
                </c:pt>
                <c:pt idx="100">
                  <c:v>Lead Data Scientist</c:v>
                </c:pt>
                <c:pt idx="101">
                  <c:v>Data Scientist</c:v>
                </c:pt>
                <c:pt idx="102">
                  <c:v>Data Scientist</c:v>
                </c:pt>
                <c:pt idx="103">
                  <c:v>Data Scientist, Rice University</c:v>
                </c:pt>
                <c:pt idx="104">
                  <c:v>Senior Data Scientist</c:v>
                </c:pt>
                <c:pt idx="105">
                  <c:v>Data Engineer</c:v>
                </c:pt>
                <c:pt idx="106">
                  <c:v>Senior Data Scientist</c:v>
                </c:pt>
                <c:pt idx="107">
                  <c:v>Financial Data Analyst</c:v>
                </c:pt>
                <c:pt idx="108">
                  <c:v>Senior Data Analyst</c:v>
                </c:pt>
                <c:pt idx="109">
                  <c:v>Research Scientist</c:v>
                </c:pt>
                <c:pt idx="110">
                  <c:v>Data Scientist</c:v>
                </c:pt>
                <c:pt idx="111">
                  <c:v>Data Engineer</c:v>
                </c:pt>
                <c:pt idx="112">
                  <c:v>Data Scientist</c:v>
                </c:pt>
                <c:pt idx="113">
                  <c:v>Data Scientist</c:v>
                </c:pt>
                <c:pt idx="114">
                  <c:v>Data Scientist</c:v>
                </c:pt>
                <c:pt idx="115">
                  <c:v>Data Engineer</c:v>
                </c:pt>
                <c:pt idx="116">
                  <c:v>Ag Data Scientist</c:v>
                </c:pt>
                <c:pt idx="117">
                  <c:v>Data Scientist</c:v>
                </c:pt>
                <c:pt idx="118">
                  <c:v>Data Engineer</c:v>
                </c:pt>
                <c:pt idx="119">
                  <c:v>Data Scientist II</c:v>
                </c:pt>
                <c:pt idx="120">
                  <c:v>Senior Data Engineer</c:v>
                </c:pt>
                <c:pt idx="121">
                  <c:v>Data Scientist</c:v>
                </c:pt>
                <c:pt idx="122">
                  <c:v>Data Scientist</c:v>
                </c:pt>
                <c:pt idx="123">
                  <c:v>Data Engineer</c:v>
                </c:pt>
                <c:pt idx="124">
                  <c:v>Data Engineer</c:v>
                </c:pt>
                <c:pt idx="125">
                  <c:v>Data Analyst</c:v>
                </c:pt>
                <c:pt idx="126">
                  <c:v>Project Scientist</c:v>
                </c:pt>
                <c:pt idx="127">
                  <c:v>Data Scientist</c:v>
                </c:pt>
                <c:pt idx="128">
                  <c:v>Data Analytics Manager</c:v>
                </c:pt>
                <c:pt idx="129">
                  <c:v>Senior Machine Learning (ML) Engineer / Data Scientist - Cyber Security Analytics</c:v>
                </c:pt>
                <c:pt idx="130">
                  <c:v>Data Scientist</c:v>
                </c:pt>
                <c:pt idx="131">
                  <c:v>Senior Data Scientist</c:v>
                </c:pt>
                <c:pt idx="132">
                  <c:v>Data Scientist</c:v>
                </c:pt>
                <c:pt idx="133">
                  <c:v>Associate Scientist</c:v>
                </c:pt>
                <c:pt idx="134">
                  <c:v>Scientist 2, QC Viral Vector</c:v>
                </c:pt>
                <c:pt idx="135">
                  <c:v>Machine Learning Engineer</c:v>
                </c:pt>
                <c:pt idx="136">
                  <c:v>Data Scientist/ML Engineer</c:v>
                </c:pt>
                <c:pt idx="137">
                  <c:v>Data Scientist</c:v>
                </c:pt>
                <c:pt idx="138">
                  <c:v>Customer Data Scientist</c:v>
                </c:pt>
                <c:pt idx="139">
                  <c:v>Data Engineer</c:v>
                </c:pt>
                <c:pt idx="140">
                  <c:v>Data Engineer</c:v>
                </c:pt>
                <c:pt idx="141">
                  <c:v>Sr. Data Scientist</c:v>
                </c:pt>
                <c:pt idx="142">
                  <c:v>Data Engineer 4 - Contract</c:v>
                </c:pt>
                <c:pt idx="143">
                  <c:v>Data Analyst - Asset Management</c:v>
                </c:pt>
                <c:pt idx="144">
                  <c:v>Senior Research Scientist - Embedded System Development for DevOps</c:v>
                </c:pt>
                <c:pt idx="145">
                  <c:v>Data Scientist - Bioinformatics</c:v>
                </c:pt>
                <c:pt idx="146">
                  <c:v>Data Engineer</c:v>
                </c:pt>
                <c:pt idx="147">
                  <c:v>Customer Data Scientist/Sales Engineer</c:v>
                </c:pt>
                <c:pt idx="148">
                  <c:v>Lead Data Scientist</c:v>
                </c:pt>
                <c:pt idx="149">
                  <c:v>MongoDB Data Engineer II</c:v>
                </c:pt>
                <c:pt idx="150">
                  <c:v>Senior Data Scientist Statistics</c:v>
                </c:pt>
                <c:pt idx="151">
                  <c:v>Senior Data Analyst</c:v>
                </c:pt>
                <c:pt idx="152">
                  <c:v>Senior Spark Engineer (Data Science)</c:v>
                </c:pt>
                <c:pt idx="153">
                  <c:v>Data Engineer</c:v>
                </c:pt>
                <c:pt idx="154">
                  <c:v>BI &amp; Platform Analytics Manager</c:v>
                </c:pt>
                <c:pt idx="155">
                  <c:v>Lead Data Scientist</c:v>
                </c:pt>
                <c:pt idx="156">
                  <c:v>Sr. Data Scientist - Analytics, Personalized Healthcare (PHC)</c:v>
                </c:pt>
                <c:pt idx="157">
                  <c:v>Senior Data Scientist</c:v>
                </c:pt>
                <c:pt idx="158">
                  <c:v>Pricipal Scientist Molecular and cellular biologist</c:v>
                </c:pt>
                <c:pt idx="159">
                  <c:v>Data Scientist (Actuary, FSA or ASA)</c:v>
                </c:pt>
                <c:pt idx="160">
                  <c:v>Staff Data Scientist</c:v>
                </c:pt>
                <c:pt idx="161">
                  <c:v>Senior Data Scientist / Machine Learning</c:v>
                </c:pt>
                <c:pt idx="162">
                  <c:v>Data Scientist - Health Data Analytics</c:v>
                </c:pt>
                <c:pt idx="163">
                  <c:v>Data Engineer 5 - Contract (Remote)</c:v>
                </c:pt>
                <c:pt idx="164">
                  <c:v>Senior Scientist - Neuroscience</c:v>
                </c:pt>
                <c:pt idx="165">
                  <c:v>Senior Data Analyst</c:v>
                </c:pt>
                <c:pt idx="166">
                  <c:v>Medical Lab Scientist</c:v>
                </c:pt>
                <c:pt idx="167">
                  <c:v>Risk and Analytics IT, Data Scientist</c:v>
                </c:pt>
                <c:pt idx="168">
                  <c:v>Scientist, Analytical Development</c:v>
                </c:pt>
                <c:pt idx="169">
                  <c:v>Senior Data Scientist</c:v>
                </c:pt>
                <c:pt idx="170">
                  <c:v>Analytics Manager</c:v>
                </c:pt>
                <c:pt idx="171">
                  <c:v>Data Engineer</c:v>
                </c:pt>
                <c:pt idx="172">
                  <c:v>Digital Marketing &amp; ECommerce Data Analyst</c:v>
                </c:pt>
                <c:pt idx="173">
                  <c:v>Sr. Scientist - Digital &amp; Image Analysis/Computational Pathology</c:v>
                </c:pt>
                <c:pt idx="174">
                  <c:v>Senior Data Analyst</c:v>
                </c:pt>
                <c:pt idx="175">
                  <c:v>Principal Scientist - Immunologist</c:v>
                </c:pt>
                <c:pt idx="176">
                  <c:v>Senior Data Scientist</c:v>
                </c:pt>
                <c:pt idx="177">
                  <c:v>Principal Data Scientist with over 10 years experience</c:v>
                </c:pt>
                <c:pt idx="178">
                  <c:v>MED TECH/LAB SCIENTIST - LABORATORY</c:v>
                </c:pt>
                <c:pt idx="179">
                  <c:v>Sr. Scientist, Quantitative Translational Sciences</c:v>
                </c:pt>
                <c:pt idx="180">
                  <c:v>Sr. Data Scientist II</c:v>
                </c:pt>
                <c:pt idx="181">
                  <c:v>Excel / VBA / SQL Data Analyst</c:v>
                </c:pt>
                <c:pt idx="182">
                  <c:v>Machine Learning Research Scientist</c:v>
                </c:pt>
                <c:pt idx="183">
                  <c:v>VP, Data Science</c:v>
                </c:pt>
                <c:pt idx="184">
                  <c:v>Senior Data Scientist</c:v>
                </c:pt>
                <c:pt idx="185">
                  <c:v>Radar Data Analyst</c:v>
                </c:pt>
                <c:pt idx="186">
                  <c:v>PL Actuarial-Lead Data Scientist</c:v>
                </c:pt>
                <c:pt idx="187">
                  <c:v>PV Scientist</c:v>
                </c:pt>
                <c:pt idx="188">
                  <c:v>Senior Data &amp; Machine Learning Scientist</c:v>
                </c:pt>
                <c:pt idx="189">
                  <c:v>Principal Data Scientist (Computational Chemistry)</c:v>
                </c:pt>
                <c:pt idx="190">
                  <c:v>Data Engineer</c:v>
                </c:pt>
                <c:pt idx="191">
                  <c:v>Principal Scientist, Chemistry &amp; Immunology</c:v>
                </c:pt>
                <c:pt idx="192">
                  <c:v>Software Engineer - Data Visualization</c:v>
                </c:pt>
                <c:pt idx="193">
                  <c:v>Scientist/Senior Scientist, Autoimmune</c:v>
                </c:pt>
                <c:pt idx="194">
                  <c:v>Staff Machine Learning Engineer</c:v>
                </c:pt>
                <c:pt idx="195">
                  <c:v>Principal Scientist, Hematology</c:v>
                </c:pt>
                <c:pt idx="196">
                  <c:v>Lead Data Engineer</c:v>
                </c:pt>
                <c:pt idx="197">
                  <c:v>Marketing Data Analyst</c:v>
                </c:pt>
                <c:pt idx="198">
                  <c:v>Medical Laboratory Scientist</c:v>
                </c:pt>
                <c:pt idx="199">
                  <c:v>R&amp;D Specialist/ Food Scientist</c:v>
                </c:pt>
                <c:pt idx="200">
                  <c:v>Senior Research Scientist-Machine Learning</c:v>
                </c:pt>
                <c:pt idx="201">
                  <c:v>Analytics Manager - Data Mart</c:v>
                </c:pt>
                <c:pt idx="202">
                  <c:v>Sr. Data Engineer - Contract-to-Hire (Java)</c:v>
                </c:pt>
                <c:pt idx="203">
                  <c:v>MED TECH/LAB SCIENTIST- SOUTH COASTAL LAB</c:v>
                </c:pt>
                <c:pt idx="204">
                  <c:v>Food Scientist - Developer</c:v>
                </c:pt>
                <c:pt idx="205">
                  <c:v>Staff Scientist-Downstream Process Development</c:v>
                </c:pt>
                <c:pt idx="206">
                  <c:v>Sr. Data Engineer</c:v>
                </c:pt>
                <c:pt idx="207">
                  <c:v>Data Scientist - Quantitative</c:v>
                </c:pt>
                <c:pt idx="208">
                  <c:v>Data Scientist</c:v>
                </c:pt>
                <c:pt idx="209">
                  <c:v>Senior Research Statistician- Data Scientist</c:v>
                </c:pt>
                <c:pt idx="210">
                  <c:v>Business Data Analyst, SQL</c:v>
                </c:pt>
                <c:pt idx="211">
                  <c:v>Medical Technologist / Clinical Laboratory Scientist</c:v>
                </c:pt>
                <c:pt idx="212">
                  <c:v>Data Scientist</c:v>
                </c:pt>
                <c:pt idx="213">
                  <c:v>Senior Data Analyst</c:v>
                </c:pt>
                <c:pt idx="214">
                  <c:v>BI &amp; Platform Analytics Manager</c:v>
                </c:pt>
                <c:pt idx="215">
                  <c:v>Data Engineer</c:v>
                </c:pt>
                <c:pt idx="216">
                  <c:v>Data Scientist</c:v>
                </c:pt>
                <c:pt idx="217">
                  <c:v>Data Analyst</c:v>
                </c:pt>
                <c:pt idx="218">
                  <c:v>Associate Data Scientist/Computer Scientist</c:v>
                </c:pt>
                <c:pt idx="219">
                  <c:v>Business Intelligence Analyst / Developer</c:v>
                </c:pt>
                <c:pt idx="220">
                  <c:v>Lead Data Scientist</c:v>
                </c:pt>
                <c:pt idx="221">
                  <c:v>Sr. Data Scientist - Analytics, Personalized Healthcare (PHC)</c:v>
                </c:pt>
                <c:pt idx="222">
                  <c:v>Senior Data Scientist</c:v>
                </c:pt>
                <c:pt idx="223">
                  <c:v>Data Analyst</c:v>
                </c:pt>
                <c:pt idx="224">
                  <c:v>Pricipal Scientist Molecular and cellular biologist</c:v>
                </c:pt>
                <c:pt idx="225">
                  <c:v>Data Analyst</c:v>
                </c:pt>
                <c:pt idx="226">
                  <c:v>Data Analyst</c:v>
                </c:pt>
                <c:pt idx="227">
                  <c:v>Staff Data Scientist</c:v>
                </c:pt>
                <c:pt idx="228">
                  <c:v>Data Scientist (Actuary, FSA or ASA)</c:v>
                </c:pt>
                <c:pt idx="229">
                  <c:v>System and Data Analyst</c:v>
                </c:pt>
                <c:pt idx="230">
                  <c:v>Data Scientist</c:v>
                </c:pt>
                <c:pt idx="231">
                  <c:v>Data Engineer 5 - Contract (Remote)</c:v>
                </c:pt>
                <c:pt idx="232">
                  <c:v>Digital Health Data Scientist</c:v>
                </c:pt>
                <c:pt idx="233">
                  <c:v>Data Scientist</c:v>
                </c:pt>
                <c:pt idx="234">
                  <c:v>Data &amp; Analytics Consultant (NYC)</c:v>
                </c:pt>
                <c:pt idx="235">
                  <c:v>Senior Scientist - Neuroscience</c:v>
                </c:pt>
                <c:pt idx="236">
                  <c:v>Data Engineer</c:v>
                </c:pt>
                <c:pt idx="237">
                  <c:v>Big Data Engineer - Chicago - Future Opportunity</c:v>
                </c:pt>
                <c:pt idx="238">
                  <c:v>Senior Data Analyst</c:v>
                </c:pt>
                <c:pt idx="239">
                  <c:v>Data Scientist</c:v>
                </c:pt>
                <c:pt idx="240">
                  <c:v>Survey Data Analyst</c:v>
                </c:pt>
                <c:pt idx="241">
                  <c:v>Data Scientist</c:v>
                </c:pt>
                <c:pt idx="242">
                  <c:v>Data Scientist</c:v>
                </c:pt>
                <c:pt idx="243">
                  <c:v>Risk and Analytics IT, Data Scientist</c:v>
                </c:pt>
                <c:pt idx="244">
                  <c:v>Data Scientist</c:v>
                </c:pt>
                <c:pt idx="245">
                  <c:v>Lead Health Data Analyst - Front End</c:v>
                </c:pt>
                <c:pt idx="246">
                  <c:v>Research Scientist</c:v>
                </c:pt>
                <c:pt idx="247">
                  <c:v>Medical Lab Scientist</c:v>
                </c:pt>
                <c:pt idx="248">
                  <c:v>Junior Data Analyst</c:v>
                </c:pt>
                <c:pt idx="249">
                  <c:v>SQL Data Engineer</c:v>
                </c:pt>
                <c:pt idx="250">
                  <c:v>Data Scientist</c:v>
                </c:pt>
                <c:pt idx="251">
                  <c:v>Senior Data Scientist</c:v>
                </c:pt>
                <c:pt idx="252">
                  <c:v>Data Scientist</c:v>
                </c:pt>
                <c:pt idx="253">
                  <c:v>Scientist, Analytical Development</c:v>
                </c:pt>
                <c:pt idx="254">
                  <c:v>Analytics Manager</c:v>
                </c:pt>
                <c:pt idx="255">
                  <c:v>Clinical Data Scientist</c:v>
                </c:pt>
                <c:pt idx="256">
                  <c:v>Data Scientist</c:v>
                </c:pt>
                <c:pt idx="257">
                  <c:v>Sr. Data Scientist, Cyber-Security LT Contract</c:v>
                </c:pt>
                <c:pt idx="258">
                  <c:v>Data Engineer</c:v>
                </c:pt>
                <c:pt idx="259">
                  <c:v>Data Scientist</c:v>
                </c:pt>
                <c:pt idx="260">
                  <c:v>Sr. Scientist - Digital &amp; Image Analysis/Computational Pathology</c:v>
                </c:pt>
                <c:pt idx="261">
                  <c:v>Digital Marketing &amp; ECommerce Data Analyst</c:v>
                </c:pt>
                <c:pt idx="262">
                  <c:v>Principal Scientist - Immunologist</c:v>
                </c:pt>
                <c:pt idx="263">
                  <c:v>Senior Data Analyst</c:v>
                </c:pt>
                <c:pt idx="264">
                  <c:v>Insurance Financial Data Analyst</c:v>
                </c:pt>
                <c:pt idx="265">
                  <c:v>Data Scientist</c:v>
                </c:pt>
                <c:pt idx="266">
                  <c:v>Data Scientist</c:v>
                </c:pt>
                <c:pt idx="267">
                  <c:v>Principal Data Scientist with over 10 years experience</c:v>
                </c:pt>
                <c:pt idx="268">
                  <c:v>Data Engineer</c:v>
                </c:pt>
                <c:pt idx="269">
                  <c:v>Senior Data Scientist</c:v>
                </c:pt>
                <c:pt idx="270">
                  <c:v>Data Engineer I - Azure</c:v>
                </c:pt>
                <c:pt idx="271">
                  <c:v>Sr. Scientist, Quantitative Translational Sciences</c:v>
                </c:pt>
                <c:pt idx="272">
                  <c:v>MED TECH/LAB SCIENTIST - LABORATORY</c:v>
                </c:pt>
                <c:pt idx="273">
                  <c:v>Sr. Data Scientist II</c:v>
                </c:pt>
                <c:pt idx="274">
                  <c:v>Data Scientist</c:v>
                </c:pt>
                <c:pt idx="275">
                  <c:v>Information Security Data Analyst</c:v>
                </c:pt>
                <c:pt idx="276">
                  <c:v>Excel / VBA / SQL Data Analyst</c:v>
                </c:pt>
                <c:pt idx="277">
                  <c:v>Machine Learning Research Scientist</c:v>
                </c:pt>
                <c:pt idx="278">
                  <c:v>Data Scientist</c:v>
                </c:pt>
                <c:pt idx="279">
                  <c:v>Data Scientist</c:v>
                </c:pt>
                <c:pt idx="280">
                  <c:v>Data Scientist</c:v>
                </c:pt>
                <c:pt idx="281">
                  <c:v>Data Scientist</c:v>
                </c:pt>
                <c:pt idx="282">
                  <c:v>Senior Data Scientist</c:v>
                </c:pt>
                <c:pt idx="283">
                  <c:v>Data Scientist, Senior</c:v>
                </c:pt>
                <c:pt idx="284">
                  <c:v>Senior Data Scientist</c:v>
                </c:pt>
                <c:pt idx="285">
                  <c:v>VP, Data Science</c:v>
                </c:pt>
                <c:pt idx="286">
                  <c:v>Radar Data Analyst</c:v>
                </c:pt>
                <c:pt idx="287">
                  <c:v>CONSULTANTâ€“ DATA ANALYTICS GROUP</c:v>
                </c:pt>
                <c:pt idx="288">
                  <c:v>Data Engineer</c:v>
                </c:pt>
                <c:pt idx="289">
                  <c:v>Senior Data Scientist</c:v>
                </c:pt>
                <c:pt idx="290">
                  <c:v>Data Engineer, Data Engineering and Artifical Intelligence</c:v>
                </c:pt>
                <c:pt idx="291">
                  <c:v>Staff Scientist</c:v>
                </c:pt>
                <c:pt idx="292">
                  <c:v>PL Actuarial-Lead Data Scientist</c:v>
                </c:pt>
                <c:pt idx="293">
                  <c:v>Associate Scientist/Scientist, Process Analytical Technology - Small Molecule Analytical Chemistry</c:v>
                </c:pt>
                <c:pt idx="294">
                  <c:v>Sr. Data Analyst</c:v>
                </c:pt>
                <c:pt idx="295">
                  <c:v>Senior Data &amp; Machine Learning Scientist</c:v>
                </c:pt>
                <c:pt idx="296">
                  <c:v>Program/Data Analyst</c:v>
                </c:pt>
                <c:pt idx="297">
                  <c:v>Data Engineer</c:v>
                </c:pt>
                <c:pt idx="298">
                  <c:v>Senior Data Scientist: Causal &amp; Predictive analytics AI Innovation Lab</c:v>
                </c:pt>
                <c:pt idx="299">
                  <c:v>Principal Data Engineer, Data Platform &amp; Insights</c:v>
                </c:pt>
                <c:pt idx="300">
                  <c:v>RESEARCH SCIENTIST - BIOLOGICAL SAFETY</c:v>
                </c:pt>
                <c:pt idx="301">
                  <c:v>Data Operations Lead</c:v>
                </c:pt>
                <c:pt idx="302">
                  <c:v>Big Data Engineer</c:v>
                </c:pt>
                <c:pt idx="303">
                  <c:v>Data Scientist / Machine Learning Expert</c:v>
                </c:pt>
                <c:pt idx="304">
                  <c:v>Data Scientist</c:v>
                </c:pt>
                <c:pt idx="305">
                  <c:v>Senior Data Scientist</c:v>
                </c:pt>
                <c:pt idx="306">
                  <c:v>PV Scientist</c:v>
                </c:pt>
                <c:pt idx="307">
                  <c:v>Clinical Data Analyst</c:v>
                </c:pt>
                <c:pt idx="308">
                  <c:v>Data Engineer</c:v>
                </c:pt>
                <c:pt idx="309">
                  <c:v>Computational Chemist/Data Scientist</c:v>
                </c:pt>
                <c:pt idx="310">
                  <c:v>Data Engineer</c:v>
                </c:pt>
                <c:pt idx="311">
                  <c:v>Principal Data Scientist (Computational Chemistry)</c:v>
                </c:pt>
                <c:pt idx="312">
                  <c:v>Product Engineer â€“ Data Science</c:v>
                </c:pt>
                <c:pt idx="313">
                  <c:v>Principal Scientist, Chemistry &amp; Immunology</c:v>
                </c:pt>
                <c:pt idx="314">
                  <c:v>Scientist/Senior Scientist, Autoimmune</c:v>
                </c:pt>
                <c:pt idx="315">
                  <c:v>Data Scientist</c:v>
                </c:pt>
                <c:pt idx="316">
                  <c:v>Market Data Analyst</c:v>
                </c:pt>
                <c:pt idx="317">
                  <c:v>Software Engineer - Data Visualization</c:v>
                </c:pt>
                <c:pt idx="318">
                  <c:v>Data Engineer</c:v>
                </c:pt>
                <c:pt idx="319">
                  <c:v>Staff Data Engineer</c:v>
                </c:pt>
                <c:pt idx="320">
                  <c:v>Associate Data Engineer</c:v>
                </c:pt>
                <c:pt idx="321">
                  <c:v>Senior Data Scientist</c:v>
                </c:pt>
                <c:pt idx="322">
                  <c:v>Staff BI and Data Engineer</c:v>
                </c:pt>
                <c:pt idx="323">
                  <c:v>Marketing Data Analyst</c:v>
                </c:pt>
                <c:pt idx="324">
                  <c:v>Principal Scientist, Hematology</c:v>
                </c:pt>
                <c:pt idx="325">
                  <c:v>Data Analyst</c:v>
                </c:pt>
                <c:pt idx="326">
                  <c:v>Director - Data, Privacy and AI Governance</c:v>
                </c:pt>
                <c:pt idx="327">
                  <c:v>Data Scientist</c:v>
                </c:pt>
                <c:pt idx="328">
                  <c:v>Data Scientist</c:v>
                </c:pt>
                <c:pt idx="329">
                  <c:v>Staff Machine Learning Engineer</c:v>
                </c:pt>
                <c:pt idx="330">
                  <c:v>Information Security Data Analyst</c:v>
                </c:pt>
                <c:pt idx="331">
                  <c:v>Lead Data Engineer</c:v>
                </c:pt>
                <c:pt idx="332">
                  <c:v>Scientist Manufacturing - Kentucky BioProcessing</c:v>
                </c:pt>
                <c:pt idx="333">
                  <c:v>Data Analytics Project Manager</c:v>
                </c:pt>
                <c:pt idx="334">
                  <c:v>Consultant - Analytics Consulting</c:v>
                </c:pt>
                <c:pt idx="335">
                  <c:v>Data Engineer</c:v>
                </c:pt>
                <c:pt idx="336">
                  <c:v>Marketing Data Analyst</c:v>
                </c:pt>
                <c:pt idx="337">
                  <c:v>Senior Scientist (Neuroscience)</c:v>
                </c:pt>
                <c:pt idx="338">
                  <c:v>Medical Laboratory Scientist</c:v>
                </c:pt>
                <c:pt idx="339">
                  <c:v>Machine Learning Engineer - Regulatory</c:v>
                </c:pt>
                <c:pt idx="340">
                  <c:v>R&amp;D Specialist/ Food Scientist</c:v>
                </c:pt>
                <c:pt idx="341">
                  <c:v>Data Engineer</c:v>
                </c:pt>
                <c:pt idx="342">
                  <c:v>Scientist, Bacteriology</c:v>
                </c:pt>
                <c:pt idx="343">
                  <c:v>Associate Director, Platform and DevOps- Data Engineering and Aritifical Intelligence</c:v>
                </c:pt>
                <c:pt idx="344">
                  <c:v>Senior Research Scientist-Machine Learning</c:v>
                </c:pt>
                <c:pt idx="345">
                  <c:v>Senior Data Scientist</c:v>
                </c:pt>
                <c:pt idx="346">
                  <c:v>Clinical Laboratory Scientist</c:v>
                </c:pt>
                <c:pt idx="347">
                  <c:v>Analytics Manager - Data Mart</c:v>
                </c:pt>
                <c:pt idx="348">
                  <c:v>Sr. Data Engineer - Contract-to-Hire (Java)</c:v>
                </c:pt>
                <c:pt idx="349">
                  <c:v>Data Scientist - Algorithms &amp; Inference</c:v>
                </c:pt>
                <c:pt idx="350">
                  <c:v>Senior Data Scientist - R&amp;D Oncology</c:v>
                </c:pt>
                <c:pt idx="351">
                  <c:v>Data Engineer</c:v>
                </c:pt>
                <c:pt idx="352">
                  <c:v>Food Scientist - Developer</c:v>
                </c:pt>
                <c:pt idx="353">
                  <c:v>Senior Data Scientist</c:v>
                </c:pt>
                <c:pt idx="354">
                  <c:v>Data Engineer</c:v>
                </c:pt>
                <c:pt idx="355">
                  <c:v>Director II, Data Science - GRM Actuarial</c:v>
                </c:pt>
                <c:pt idx="356">
                  <c:v>Scientist, Molecular/Cellular Biologist</c:v>
                </c:pt>
                <c:pt idx="357">
                  <c:v>Staff Scientist-Downstream Process Development</c:v>
                </c:pt>
                <c:pt idx="358">
                  <c:v>MED TECH/LAB SCIENTIST- SOUTH COASTAL LAB</c:v>
                </c:pt>
                <c:pt idx="359">
                  <c:v>Scientist - Analytical Services</c:v>
                </c:pt>
                <c:pt idx="360">
                  <c:v>Associate Data Analyst- Graduate Development Program</c:v>
                </c:pt>
                <c:pt idx="361">
                  <c:v>Sr. Data Engineer</c:v>
                </c:pt>
                <c:pt idx="362">
                  <c:v>Senior Insurance Data Scientist</c:v>
                </c:pt>
                <c:pt idx="363">
                  <c:v>Senior Data Science Systems Engineer</c:v>
                </c:pt>
                <c:pt idx="364">
                  <c:v>ENVIRONMENTAL ENGINEER/SCIENTIST</c:v>
                </c:pt>
                <c:pt idx="365">
                  <c:v>Senior Scientist - Regulatory Submissions</c:v>
                </c:pt>
                <c:pt idx="366">
                  <c:v>Scientist - Biomarker and Flow Cytometry</c:v>
                </c:pt>
                <c:pt idx="367">
                  <c:v>Revenue Analytics Manager</c:v>
                </c:pt>
                <c:pt idx="368">
                  <c:v>Associate Scientist, LC/MS Biologics</c:v>
                </c:pt>
                <c:pt idx="369">
                  <c:v>Sr. Scientist Method Development</c:v>
                </c:pt>
                <c:pt idx="370">
                  <c:v>IT - Data Engineer II</c:v>
                </c:pt>
                <c:pt idx="371">
                  <c:v>Research Scientist, Immunology - Cancer Biology</c:v>
                </c:pt>
                <c:pt idx="372">
                  <c:v>Project Scientist - Auton Lab, Robotics Institute</c:v>
                </c:pt>
                <c:pt idx="373">
                  <c:v>Data Scientist</c:v>
                </c:pt>
                <c:pt idx="374">
                  <c:v>Data Scientist</c:v>
                </c:pt>
                <c:pt idx="375">
                  <c:v>Enterprise Architect, Data</c:v>
                </c:pt>
                <c:pt idx="376">
                  <c:v>Senior Manager, Epidemiologic Data Scientist</c:v>
                </c:pt>
                <c:pt idx="377">
                  <c:v>Corporate Risk Data Analyst (SQL Based) - Milwaukee or</c:v>
                </c:pt>
                <c:pt idx="378">
                  <c:v>Lead Data Scientist</c:v>
                </c:pt>
                <c:pt idx="379">
                  <c:v>Marketing Data Analyst, May 2020 Undergrad</c:v>
                </c:pt>
                <c:pt idx="380">
                  <c:v>Senior Data Engineer</c:v>
                </c:pt>
                <c:pt idx="381">
                  <c:v>Senior Data Analyst</c:v>
                </c:pt>
                <c:pt idx="382">
                  <c:v>Data Modeler - Data Solutions Engineer</c:v>
                </c:pt>
                <c:pt idx="383">
                  <c:v>Associate Environmental Scientist - Wildlife Biologist</c:v>
                </c:pt>
                <c:pt idx="384">
                  <c:v>Associate, Data Science, Internal Audit</c:v>
                </c:pt>
                <c:pt idx="385">
                  <c:v>Sr Data Engineer (Sr BI Developer)</c:v>
                </c:pt>
                <c:pt idx="386">
                  <c:v>Data Engineer</c:v>
                </c:pt>
                <c:pt idx="387">
                  <c:v>Senior LiDAR Data Scientist</c:v>
                </c:pt>
                <c:pt idx="388">
                  <c:v>Salesforce Analytics Consultant</c:v>
                </c:pt>
                <c:pt idx="389">
                  <c:v>Technology-Minded, Data Professional Opportunities</c:v>
                </c:pt>
                <c:pt idx="390">
                  <c:v>Senior Data Engineer</c:v>
                </c:pt>
                <c:pt idx="391">
                  <c:v>Managing Data Scientist/ML Engineer</c:v>
                </c:pt>
                <c:pt idx="392">
                  <c:v>Scientist, Pharmacometrics</c:v>
                </c:pt>
                <c:pt idx="393">
                  <c:v>Staff Scientist- Upstream PD</c:v>
                </c:pt>
                <c:pt idx="394">
                  <c:v>Scientist Manufacturing Pharma - Kentucky BioProcessing</c:v>
                </c:pt>
                <c:pt idx="395">
                  <c:v>Sr. Data Engineer</c:v>
                </c:pt>
                <c:pt idx="396">
                  <c:v>Lead Big Data Engineer</c:v>
                </c:pt>
                <c:pt idx="397">
                  <c:v>Product Engineer â€“ Spatial Data Science and Statistical Analysis</c:v>
                </c:pt>
                <c:pt idx="398">
                  <c:v>Sr Software Engineer (Data Scientist)</c:v>
                </c:pt>
                <c:pt idx="399">
                  <c:v>College Hire - Data Scientist - Open to December 2019 Graduates</c:v>
                </c:pt>
                <c:pt idx="400">
                  <c:v>Senior Data Scientist</c:v>
                </c:pt>
                <c:pt idx="401">
                  <c:v>Sr. Data Engineer (ETL Developer)</c:v>
                </c:pt>
                <c:pt idx="402">
                  <c:v>Senior Data Scientist Artificial Intelligence</c:v>
                </c:pt>
                <c:pt idx="403">
                  <c:v>Analytics - Business Assurance Data Analyst</c:v>
                </c:pt>
                <c:pt idx="404">
                  <c:v>Associate Director/Director, Safety Scientist</c:v>
                </c:pt>
                <c:pt idx="405">
                  <c:v>Senior Scientist, Cell Pharmacology/Assay Development</c:v>
                </c:pt>
                <c:pt idx="406">
                  <c:v>Data Analyst Senior</c:v>
                </c:pt>
                <c:pt idx="407">
                  <c:v>Lead Data Engineer (Python)</c:v>
                </c:pt>
                <c:pt idx="408">
                  <c:v>Senior Data Scientist 4 Artificial Intelligence</c:v>
                </c:pt>
                <c:pt idx="409">
                  <c:v>Medical Lab Scientist - MLT</c:v>
                </c:pt>
                <c:pt idx="410">
                  <c:v>Senior Operations Data Analyst, Call Center Operations</c:v>
                </c:pt>
                <c:pt idx="411">
                  <c:v>Director II, Data Science - GRS Predictive Analytics</c:v>
                </c:pt>
                <c:pt idx="412">
                  <c:v>RESEARCH COMPUTER SCIENTIST - RESEARCH ENGINEER - SR. COMPUTER SCIENTIST - SOFTWARE DEVELOPMENT</c:v>
                </c:pt>
                <c:pt idx="413">
                  <c:v>Geospatial Software Developer and Data Scientist</c:v>
                </c:pt>
                <c:pt idx="414">
                  <c:v>Senior Scientist - Toxicologist - Product Integrity (Stewardship)</c:v>
                </c:pt>
                <c:pt idx="415">
                  <c:v>Systems Engineer II - Data Analyst</c:v>
                </c:pt>
                <c:pt idx="416">
                  <c:v>Senior Research Analytical Scientist-Non-Targeted Analysis</c:v>
                </c:pt>
                <c:pt idx="417">
                  <c:v>Director Data Science</c:v>
                </c:pt>
                <c:pt idx="418">
                  <c:v>Sr Data Analyst - IT</c:v>
                </c:pt>
                <c:pt idx="419">
                  <c:v>Senior Data Engineer</c:v>
                </c:pt>
                <c:pt idx="420">
                  <c:v>Senior Data Engineer</c:v>
                </c:pt>
                <c:pt idx="421">
                  <c:v>Associate Machine Learning Engineer / Data Scientist May 2020 Undergrad</c:v>
                </c:pt>
                <c:pt idx="422">
                  <c:v>Senior Scientist - Biostatistician</c:v>
                </c:pt>
                <c:pt idx="423">
                  <c:v>Data Scientist</c:v>
                </c:pt>
                <c:pt idx="424">
                  <c:v>Data Scientist</c:v>
                </c:pt>
                <c:pt idx="425">
                  <c:v>Data Scientist</c:v>
                </c:pt>
                <c:pt idx="426">
                  <c:v>Data Engineer</c:v>
                </c:pt>
                <c:pt idx="427">
                  <c:v>Computational Chemist/Data Scientist</c:v>
                </c:pt>
                <c:pt idx="428">
                  <c:v>Principal Data Scientist (Computational Chemistry)</c:v>
                </c:pt>
                <c:pt idx="429">
                  <c:v>Data Scientist</c:v>
                </c:pt>
                <c:pt idx="430">
                  <c:v>Principal Machine Learning Scientist</c:v>
                </c:pt>
                <c:pt idx="431">
                  <c:v>Data Scientist</c:v>
                </c:pt>
                <c:pt idx="432">
                  <c:v>Product Engineer â€“ Data Science</c:v>
                </c:pt>
                <c:pt idx="433">
                  <c:v>Principal Scientist, Chemistry &amp; Immunology</c:v>
                </c:pt>
                <c:pt idx="434">
                  <c:v>Data Scientist</c:v>
                </c:pt>
                <c:pt idx="435">
                  <c:v>Data Scientist</c:v>
                </c:pt>
                <c:pt idx="436">
                  <c:v>Data Scientist</c:v>
                </c:pt>
                <c:pt idx="437">
                  <c:v>Data Scientist</c:v>
                </c:pt>
                <c:pt idx="438">
                  <c:v>Data Scientist</c:v>
                </c:pt>
                <c:pt idx="439">
                  <c:v>Data Engineer</c:v>
                </c:pt>
                <c:pt idx="440">
                  <c:v>Scientist/Senior Scientist, Autoimmune</c:v>
                </c:pt>
                <c:pt idx="441">
                  <c:v>Data Scientist</c:v>
                </c:pt>
                <c:pt idx="442">
                  <c:v>Software Engineer - Data Visualization</c:v>
                </c:pt>
                <c:pt idx="443">
                  <c:v>Market Data Analyst</c:v>
                </c:pt>
                <c:pt idx="444">
                  <c:v>Staff Data Engineer</c:v>
                </c:pt>
                <c:pt idx="445">
                  <c:v>Associate Data Engineer</c:v>
                </c:pt>
                <c:pt idx="446">
                  <c:v>Data Engineer</c:v>
                </c:pt>
                <c:pt idx="447">
                  <c:v>Staff Data Engineer</c:v>
                </c:pt>
                <c:pt idx="448">
                  <c:v>Data Scientist</c:v>
                </c:pt>
                <c:pt idx="449">
                  <c:v>Data Scientist</c:v>
                </c:pt>
                <c:pt idx="450">
                  <c:v>Data Scientist</c:v>
                </c:pt>
                <c:pt idx="451">
                  <c:v>Senior Data Scientist</c:v>
                </c:pt>
                <c:pt idx="452">
                  <c:v>Data Scientist</c:v>
                </c:pt>
                <c:pt idx="453">
                  <c:v>Data Scientist</c:v>
                </c:pt>
                <c:pt idx="454">
                  <c:v>Data Scientist</c:v>
                </c:pt>
                <c:pt idx="455">
                  <c:v>Data Analyst, Performance Partnership</c:v>
                </c:pt>
                <c:pt idx="456">
                  <c:v>Data Scientist</c:v>
                </c:pt>
                <c:pt idx="457">
                  <c:v>Data Scientist</c:v>
                </c:pt>
                <c:pt idx="458">
                  <c:v>Staff BI and Data Engineer</c:v>
                </c:pt>
                <c:pt idx="459">
                  <c:v>Data Scientist</c:v>
                </c:pt>
                <c:pt idx="460">
                  <c:v>Data Scientist</c:v>
                </c:pt>
                <c:pt idx="461">
                  <c:v>Data Scientist</c:v>
                </c:pt>
                <c:pt idx="462">
                  <c:v>Data Scientist</c:v>
                </c:pt>
                <c:pt idx="463">
                  <c:v>Data Scientist Manager</c:v>
                </c:pt>
                <c:pt idx="464">
                  <c:v>Data Engineer</c:v>
                </c:pt>
                <c:pt idx="465">
                  <c:v>Marketing Data Analyst</c:v>
                </c:pt>
                <c:pt idx="466">
                  <c:v>Data Scientist</c:v>
                </c:pt>
                <c:pt idx="467">
                  <c:v>Senior Data Scientist</c:v>
                </c:pt>
                <c:pt idx="468">
                  <c:v>Principal Scientist, Hematology</c:v>
                </c:pt>
                <c:pt idx="469">
                  <c:v>Data Analyst</c:v>
                </c:pt>
                <c:pt idx="470">
                  <c:v>Software Data Engineer - College</c:v>
                </c:pt>
                <c:pt idx="471">
                  <c:v>Director - Data, Privacy and AI Governance</c:v>
                </c:pt>
                <c:pt idx="472">
                  <c:v>Staff Machine Learning Engineer</c:v>
                </c:pt>
                <c:pt idx="473">
                  <c:v>Data Scientist</c:v>
                </c:pt>
                <c:pt idx="474">
                  <c:v>Lead Data Scientist</c:v>
                </c:pt>
                <c:pt idx="475">
                  <c:v>Senior Data Scientist - Algorithms</c:v>
                </c:pt>
                <c:pt idx="476">
                  <c:v>Information Security Data Analyst</c:v>
                </c:pt>
                <c:pt idx="477">
                  <c:v>Lead Data Engineer</c:v>
                </c:pt>
                <c:pt idx="478">
                  <c:v>Data Analyst</c:v>
                </c:pt>
                <c:pt idx="479">
                  <c:v>Scientist Manufacturing - Kentucky BioProcessing</c:v>
                </c:pt>
                <c:pt idx="480">
                  <c:v>Consultant - Analytics Consulting</c:v>
                </c:pt>
                <c:pt idx="481">
                  <c:v>Data Analytics Project Manager</c:v>
                </c:pt>
                <c:pt idx="482">
                  <c:v>Data Analyst</c:v>
                </c:pt>
                <c:pt idx="483">
                  <c:v>Data Engineer</c:v>
                </c:pt>
                <c:pt idx="484">
                  <c:v>Data Scientist</c:v>
                </c:pt>
                <c:pt idx="485">
                  <c:v>Machine Learning Engineer</c:v>
                </c:pt>
                <c:pt idx="486">
                  <c:v>Senior Data Scientist Oncology</c:v>
                </c:pt>
                <c:pt idx="487">
                  <c:v>Data Scientist</c:v>
                </c:pt>
                <c:pt idx="488">
                  <c:v>Senior Data Scientist</c:v>
                </c:pt>
                <c:pt idx="489">
                  <c:v>Senior Scientist (Neuroscience)</c:v>
                </c:pt>
                <c:pt idx="490">
                  <c:v>Machine Learning Engineer - Regulatory</c:v>
                </c:pt>
                <c:pt idx="491">
                  <c:v>Marketing Data Analyst</c:v>
                </c:pt>
                <c:pt idx="492">
                  <c:v>Data Engineer</c:v>
                </c:pt>
                <c:pt idx="493">
                  <c:v>Medical Laboratory Scientist</c:v>
                </c:pt>
                <c:pt idx="494">
                  <c:v>R&amp;D Specialist/ Food Scientist</c:v>
                </c:pt>
                <c:pt idx="495">
                  <c:v>Principal Data Scientist</c:v>
                </c:pt>
                <c:pt idx="496">
                  <c:v>Data Engineer</c:v>
                </c:pt>
                <c:pt idx="497">
                  <c:v>Data Scientist - Alpha Insights</c:v>
                </c:pt>
                <c:pt idx="498">
                  <c:v>Data Scientist, Office of Data Science</c:v>
                </c:pt>
                <c:pt idx="499">
                  <c:v>Associate Principal Scientist, Pharmacogenomics</c:v>
                </c:pt>
                <c:pt idx="500">
                  <c:v>Data Scientist - Systems Engineering</c:v>
                </c:pt>
                <c:pt idx="501">
                  <c:v>Data Engineer</c:v>
                </c:pt>
                <c:pt idx="502">
                  <c:v>Scientist, Bacteriology</c:v>
                </c:pt>
                <c:pt idx="503">
                  <c:v>Data Scientist</c:v>
                </c:pt>
                <c:pt idx="504">
                  <c:v>Associate Director, Platform and DevOps- Data Engineering and Aritifical Intelligence</c:v>
                </c:pt>
                <c:pt idx="505">
                  <c:v>Senior Research Scientist-Machine Learning</c:v>
                </c:pt>
                <c:pt idx="506">
                  <c:v>Data Scientist</c:v>
                </c:pt>
                <c:pt idx="507">
                  <c:v>Senior Data Scientist</c:v>
                </c:pt>
                <c:pt idx="508">
                  <c:v>Principal Data Scientist</c:v>
                </c:pt>
                <c:pt idx="509">
                  <c:v>Data Scientist</c:v>
                </c:pt>
                <c:pt idx="510">
                  <c:v>Clinical Laboratory Scientist</c:v>
                </c:pt>
                <c:pt idx="511">
                  <c:v>Data Engineer - Consultant (Charlotte Based)</c:v>
                </c:pt>
                <c:pt idx="512">
                  <c:v>Data Analyst 1, full-time contract worker for up to 12 months</c:v>
                </c:pt>
                <c:pt idx="513">
                  <c:v>Data Engineer</c:v>
                </c:pt>
                <c:pt idx="514">
                  <c:v>Scientist, Immuno-Oncology</c:v>
                </c:pt>
                <c:pt idx="515">
                  <c:v>Senior Data Scientist</c:v>
                </c:pt>
                <c:pt idx="516">
                  <c:v>Products Data Analyst II</c:v>
                </c:pt>
                <c:pt idx="517">
                  <c:v>Lead Data Analyst</c:v>
                </c:pt>
                <c:pt idx="518">
                  <c:v>Analytics Manager - Data Mart</c:v>
                </c:pt>
                <c:pt idx="519">
                  <c:v>Data Science Engineer - Mobile</c:v>
                </c:pt>
                <c:pt idx="520">
                  <c:v>Senior Data Scientist - R&amp;D Oncology</c:v>
                </c:pt>
                <c:pt idx="521">
                  <c:v>Sr. Data Engineer - Contract-to-Hire (Java)</c:v>
                </c:pt>
                <c:pt idx="522">
                  <c:v>Data Scientist</c:v>
                </c:pt>
                <c:pt idx="523">
                  <c:v>Senior Data Scientist</c:v>
                </c:pt>
                <c:pt idx="524">
                  <c:v>Data Engineer</c:v>
                </c:pt>
                <c:pt idx="525">
                  <c:v>Food Scientist - Developer</c:v>
                </c:pt>
                <c:pt idx="526">
                  <c:v>Senior Data Engineer</c:v>
                </c:pt>
                <c:pt idx="527">
                  <c:v>Data Engineer</c:v>
                </c:pt>
                <c:pt idx="528">
                  <c:v>Senior Data Scientist</c:v>
                </c:pt>
                <c:pt idx="529">
                  <c:v>Director II, Data Science - GRM Actuarial</c:v>
                </c:pt>
                <c:pt idx="530">
                  <c:v>Machine Learning Engineer</c:v>
                </c:pt>
                <c:pt idx="531">
                  <c:v>Sr Expert Data Science, Advanced Visual Analytics (Associate level)</c:v>
                </c:pt>
                <c:pt idx="532">
                  <c:v>Scientist, Molecular/Cellular Biologist</c:v>
                </c:pt>
                <c:pt idx="533">
                  <c:v>Staff Scientist-Downstream Process Development</c:v>
                </c:pt>
                <c:pt idx="534">
                  <c:v>MED TECH/LAB SCIENTIST- SOUTH COASTAL LAB</c:v>
                </c:pt>
                <c:pt idx="535">
                  <c:v>Scientist - Analytical Services</c:v>
                </c:pt>
                <c:pt idx="536">
                  <c:v>Associate Data Analyst- Graduate Development Program</c:v>
                </c:pt>
                <c:pt idx="537">
                  <c:v>IT Associate Data Analyst</c:v>
                </c:pt>
                <c:pt idx="538">
                  <c:v>Sr. Data Engineer</c:v>
                </c:pt>
                <c:pt idx="539">
                  <c:v>Clinical Data Analyst</c:v>
                </c:pt>
                <c:pt idx="540">
                  <c:v>Business Data Analyst</c:v>
                </c:pt>
                <c:pt idx="541">
                  <c:v>Senior Insurance Data Scientist</c:v>
                </c:pt>
                <c:pt idx="542">
                  <c:v>Senior Data Science Systems Engineer</c:v>
                </c:pt>
                <c:pt idx="543">
                  <c:v>ENVIRONMENTAL ENGINEER/SCIENTIST</c:v>
                </c:pt>
                <c:pt idx="544">
                  <c:v>Senior Scientist - Regulatory Submissions</c:v>
                </c:pt>
                <c:pt idx="545">
                  <c:v>Scientist - Biomarker and Flow Cytometry</c:v>
                </c:pt>
                <c:pt idx="546">
                  <c:v>Associate Scientist, LC/MS Biologics</c:v>
                </c:pt>
                <c:pt idx="547">
                  <c:v>Revenue Analytics Manager</c:v>
                </c:pt>
                <c:pt idx="548">
                  <c:v>Sr. Scientist Method Development</c:v>
                </c:pt>
                <c:pt idx="549">
                  <c:v>Data Scientist</c:v>
                </c:pt>
                <c:pt idx="550">
                  <c:v>Data Scientist - Sales</c:v>
                </c:pt>
                <c:pt idx="551">
                  <c:v>IT - Data Engineer II</c:v>
                </c:pt>
                <c:pt idx="552">
                  <c:v>Research Scientist, Immunology - Cancer Biology</c:v>
                </c:pt>
                <c:pt idx="553">
                  <c:v>Senior Data Analyst</c:v>
                </c:pt>
                <c:pt idx="554">
                  <c:v>Principal, Data Science - Advanced Analytics</c:v>
                </c:pt>
                <c:pt idx="555">
                  <c:v>Data Science Project Manager</c:v>
                </c:pt>
                <c:pt idx="556">
                  <c:v>Sr Scientist, Immuno-Oncology - Oncology</c:v>
                </c:pt>
                <c:pt idx="557">
                  <c:v>Senior Data Engineer</c:v>
                </c:pt>
                <c:pt idx="558">
                  <c:v>Project Scientist - Auton Lab, Robotics Institute</c:v>
                </c:pt>
                <c:pt idx="559">
                  <c:v>Research Scientist â€“ Security and Privacy</c:v>
                </c:pt>
                <c:pt idx="560">
                  <c:v>Data Science Manager</c:v>
                </c:pt>
                <c:pt idx="561">
                  <c:v>Data Analyst 2 (Missionary Department)</c:v>
                </c:pt>
                <c:pt idx="562">
                  <c:v>Enterprise Architect, Data</c:v>
                </c:pt>
                <c:pt idx="563">
                  <c:v>Supply Chain Data Analyst</c:v>
                </c:pt>
                <c:pt idx="564">
                  <c:v>Data Engineer - ETL</c:v>
                </c:pt>
                <c:pt idx="565">
                  <c:v>Corporate Risk Data Analyst (SQL Based) - Milwaukee or</c:v>
                </c:pt>
                <c:pt idx="566">
                  <c:v>Senior Manager, Epidemiologic Data Scientist</c:v>
                </c:pt>
                <c:pt idx="567">
                  <c:v>Marketing Data Analyst, May 2020 Undergrad</c:v>
                </c:pt>
                <c:pt idx="568">
                  <c:v>Senior Data Analyst</c:v>
                </c:pt>
                <c:pt idx="569">
                  <c:v>Senior Data Analyst</c:v>
                </c:pt>
                <c:pt idx="570">
                  <c:v>Senior Data Engineer</c:v>
                </c:pt>
                <c:pt idx="571">
                  <c:v>Senior Data Engineer</c:v>
                </c:pt>
                <c:pt idx="572">
                  <c:v>Data Modeler (Analytical Systems)</c:v>
                </c:pt>
                <c:pt idx="573">
                  <c:v>Data Modeler - Data Solutions Engineer</c:v>
                </c:pt>
                <c:pt idx="574">
                  <c:v>Data Scientist in Translational Medicine</c:v>
                </c:pt>
                <c:pt idx="575">
                  <c:v>Data Scientist</c:v>
                </c:pt>
                <c:pt idx="576">
                  <c:v>Product Manager/Data Evangelist</c:v>
                </c:pt>
                <c:pt idx="577">
                  <c:v>Associate Environmental Scientist - Wildlife Biologist</c:v>
                </c:pt>
                <c:pt idx="578">
                  <c:v>Sr Data Engineer (Sr BI Developer)</c:v>
                </c:pt>
                <c:pt idx="579">
                  <c:v>Senior Data Scientist â€“ Visualization, Novartis AI Innovation Lab</c:v>
                </c:pt>
                <c:pt idx="580">
                  <c:v>Senior Data Analyst/Scientist</c:v>
                </c:pt>
                <c:pt idx="581">
                  <c:v>Associate, Data Science, Internal Audit</c:v>
                </c:pt>
                <c:pt idx="582">
                  <c:v>Scientist â€“ Cancer Discovery, Molecular Assay</c:v>
                </c:pt>
                <c:pt idx="583">
                  <c:v>Senior LiDAR Data Scientist</c:v>
                </c:pt>
                <c:pt idx="584">
                  <c:v>Data Engineer</c:v>
                </c:pt>
                <c:pt idx="585">
                  <c:v>Data Engineer</c:v>
                </c:pt>
                <c:pt idx="586">
                  <c:v>Lead Data Scientist</c:v>
                </c:pt>
                <c:pt idx="587">
                  <c:v>Technology-Minded, Data Professional Opportunities</c:v>
                </c:pt>
                <c:pt idx="588">
                  <c:v>Big Data Engineer</c:v>
                </c:pt>
                <c:pt idx="589">
                  <c:v>Salesforce Analytics Consultant</c:v>
                </c:pt>
                <c:pt idx="590">
                  <c:v>Managing Data Scientist/ML Engineer</c:v>
                </c:pt>
                <c:pt idx="591">
                  <c:v>Senior Data Engineer</c:v>
                </c:pt>
                <c:pt idx="592">
                  <c:v>Staff Scientist- Upstream PD</c:v>
                </c:pt>
                <c:pt idx="593">
                  <c:v>Data Engineering Analyst</c:v>
                </c:pt>
                <c:pt idx="594">
                  <c:v>Sr. Data Engineer</c:v>
                </c:pt>
                <c:pt idx="595">
                  <c:v>Scientist, Pharmacometrics</c:v>
                </c:pt>
                <c:pt idx="596">
                  <c:v>Manager of Data Science</c:v>
                </c:pt>
                <c:pt idx="597">
                  <c:v>Scientist Manufacturing Pharma - Kentucky BioProcessing</c:v>
                </c:pt>
                <c:pt idx="598">
                  <c:v>Software Engineer (Data Scientist/Software Engineer) - SISW - MG</c:v>
                </c:pt>
                <c:pt idx="599">
                  <c:v>Data Engineer</c:v>
                </c:pt>
                <c:pt idx="600">
                  <c:v>Data Engineer</c:v>
                </c:pt>
                <c:pt idx="601">
                  <c:v>Lead Big Data Engineer</c:v>
                </c:pt>
                <c:pt idx="602">
                  <c:v>Product Engineer â€“ Spatial Data Science and Statistical Analysis</c:v>
                </c:pt>
                <c:pt idx="603">
                  <c:v>Sr Software Engineer (Data Scientist)</c:v>
                </c:pt>
                <c:pt idx="604">
                  <c:v>Sr. Data Engineer (ETL Developer)</c:v>
                </c:pt>
                <c:pt idx="605">
                  <c:v>Associate Research Scientist I (Protein Expression and Production)</c:v>
                </c:pt>
                <c:pt idx="606">
                  <c:v>Senior Data Scientist Artificial Intelligence</c:v>
                </c:pt>
                <c:pt idx="607">
                  <c:v>Analytics - Business Assurance Data Analyst</c:v>
                </c:pt>
                <c:pt idx="608">
                  <c:v>Associate Director/Director, Safety Scientist</c:v>
                </c:pt>
                <c:pt idx="609">
                  <c:v>Director, Precision Medicine Clinical Biomarker Scientist</c:v>
                </c:pt>
                <c:pt idx="610">
                  <c:v>Senior Scientist, Cell Pharmacology/Assay Development</c:v>
                </c:pt>
                <c:pt idx="611">
                  <c:v>Data Analyst Senior</c:v>
                </c:pt>
                <c:pt idx="612">
                  <c:v>Senior Formulations Scientist II</c:v>
                </c:pt>
                <c:pt idx="613">
                  <c:v>Lead Data Engineer (Python)</c:v>
                </c:pt>
                <c:pt idx="614">
                  <c:v>Data Science Manager</c:v>
                </c:pt>
                <c:pt idx="615">
                  <c:v>Senior Data Scientist 4 Artificial Intelligence</c:v>
                </c:pt>
                <c:pt idx="616">
                  <c:v>Data Engineer</c:v>
                </c:pt>
                <c:pt idx="617">
                  <c:v>Director II, Data Science - GRS Predictive Analytics</c:v>
                </c:pt>
                <c:pt idx="618">
                  <c:v>Medical Lab Scientist - MLT</c:v>
                </c:pt>
                <c:pt idx="619">
                  <c:v>Senior Operations Data Analyst, Call Center Operations</c:v>
                </c:pt>
                <c:pt idx="620">
                  <c:v>Senior Quantitative Analyst</c:v>
                </c:pt>
                <c:pt idx="621">
                  <c:v>Geospatial Software Developer and Data Scientist</c:v>
                </c:pt>
                <c:pt idx="622">
                  <c:v>RESEARCH COMPUTER SCIENTIST - RESEARCH ENGINEER - SR. COMPUTER SCIENTIST - SOFTWARE DEVELOPMENT</c:v>
                </c:pt>
                <c:pt idx="623">
                  <c:v>Senior Scientist - Toxicologist - Product Integrity (Stewardship)</c:v>
                </c:pt>
                <c:pt idx="624">
                  <c:v>Systems Engineer II - Data Analyst</c:v>
                </c:pt>
                <c:pt idx="625">
                  <c:v>Senior Research Analytical Scientist-Non-Targeted Analysis</c:v>
                </c:pt>
                <c:pt idx="626">
                  <c:v>Data Scientist</c:v>
                </c:pt>
                <c:pt idx="627">
                  <c:v>Principal Data Scientist</c:v>
                </c:pt>
                <c:pt idx="628">
                  <c:v>Director Data Science</c:v>
                </c:pt>
                <c:pt idx="629">
                  <c:v>Data Engineer</c:v>
                </c:pt>
                <c:pt idx="630">
                  <c:v>Sr Data Analyst - IT</c:v>
                </c:pt>
                <c:pt idx="631">
                  <c:v>Senior Data Engineer</c:v>
                </c:pt>
                <c:pt idx="632">
                  <c:v>Senior Data Engineer</c:v>
                </c:pt>
                <c:pt idx="633">
                  <c:v>Sr. Data Analyst</c:v>
                </c:pt>
                <c:pt idx="634">
                  <c:v>Research Scientist or Senior Research Scientist - Computer Vision</c:v>
                </c:pt>
                <c:pt idx="635">
                  <c:v>Associate Machine Learning Engineer / Data Scientist May 2020 Undergrad</c:v>
                </c:pt>
                <c:pt idx="636">
                  <c:v>Data Analyst Chemist - Quality System Contractor</c:v>
                </c:pt>
                <c:pt idx="637">
                  <c:v>Senior Scientist - Biostatistician</c:v>
                </c:pt>
                <c:pt idx="638">
                  <c:v>Research Scientist / Principal Research Scientist - Multiphysical Systems</c:v>
                </c:pt>
                <c:pt idx="639">
                  <c:v>Research Scientist, Machine Learning Department</c:v>
                </c:pt>
                <c:pt idx="640">
                  <c:v>Foundational Community Supports Data Analyst</c:v>
                </c:pt>
                <c:pt idx="641">
                  <c:v>Senior Health Data Analyst, Star Ratings</c:v>
                </c:pt>
                <c:pt idx="642">
                  <c:v>Principal Research Scientist/Team Lead, Medicinal Chemistry - Oncology</c:v>
                </c:pt>
                <c:pt idx="643">
                  <c:v>Sr. Data Analyst</c:v>
                </c:pt>
                <c:pt idx="644">
                  <c:v>Senior Engineer, Data Management Engineering</c:v>
                </c:pt>
                <c:pt idx="645">
                  <c:v>Quality Control Scientist III- Analytical Development</c:v>
                </c:pt>
                <c:pt idx="646">
                  <c:v>Clinical Scientist, Clinical Development</c:v>
                </c:pt>
                <c:pt idx="647">
                  <c:v>Software Engineer Staff Scientist: Human Language Technologies</c:v>
                </c:pt>
                <c:pt idx="648">
                  <c:v>Manager, Safety Scientist, Medical Safety &amp; Risk Management</c:v>
                </c:pt>
                <c:pt idx="649">
                  <c:v>Assistant Director/Director, Office of Data Science</c:v>
                </c:pt>
                <c:pt idx="650">
                  <c:v>Sr. Data Engineer | Big Data SaaS Pipeline</c:v>
                </c:pt>
                <c:pt idx="651">
                  <c:v>Senior Risk Data Scientist</c:v>
                </c:pt>
                <c:pt idx="652">
                  <c:v>Data Scientist in Artificial Intelligence Early Career</c:v>
                </c:pt>
                <c:pt idx="653">
                  <c:v>Consultant - Analytics Consulting</c:v>
                </c:pt>
                <c:pt idx="654">
                  <c:v>Scientist - CVRM Metabolism - in vivo pharmacology</c:v>
                </c:pt>
                <c:pt idx="655">
                  <c:v>Data Analyst</c:v>
                </c:pt>
                <c:pt idx="656">
                  <c:v>Data Engineer</c:v>
                </c:pt>
                <c:pt idx="657">
                  <c:v>Data Scientist</c:v>
                </c:pt>
                <c:pt idx="658">
                  <c:v>Data Scientist</c:v>
                </c:pt>
                <c:pt idx="659">
                  <c:v>Data Scientist</c:v>
                </c:pt>
                <c:pt idx="660">
                  <c:v>Machine Learning Engineer</c:v>
                </c:pt>
                <c:pt idx="661">
                  <c:v>Data Scientist</c:v>
                </c:pt>
                <c:pt idx="662">
                  <c:v>Senior Data Scientist</c:v>
                </c:pt>
                <c:pt idx="663">
                  <c:v>Senior Scientist (Neuroscience)</c:v>
                </c:pt>
                <c:pt idx="664">
                  <c:v>Marketing Data Analyst</c:v>
                </c:pt>
                <c:pt idx="665">
                  <c:v>Machine Learning Engineer - Regulatory</c:v>
                </c:pt>
                <c:pt idx="666">
                  <c:v>Data Engineer</c:v>
                </c:pt>
                <c:pt idx="667">
                  <c:v>Medical Laboratory Scientist</c:v>
                </c:pt>
                <c:pt idx="668">
                  <c:v>Principal Data Scientist</c:v>
                </c:pt>
                <c:pt idx="669">
                  <c:v>R&amp;D Specialist/ Food Scientist</c:v>
                </c:pt>
                <c:pt idx="670">
                  <c:v>Data Engineer</c:v>
                </c:pt>
                <c:pt idx="671">
                  <c:v>Associate Principal Scientist, Pharmacogenomics</c:v>
                </c:pt>
                <c:pt idx="672">
                  <c:v>Data Scientist - Systems Engineering</c:v>
                </c:pt>
                <c:pt idx="673">
                  <c:v>Senior Data Scientist</c:v>
                </c:pt>
                <c:pt idx="674">
                  <c:v>Data Scientist SR</c:v>
                </c:pt>
                <c:pt idx="675">
                  <c:v>Data Scientist</c:v>
                </c:pt>
                <c:pt idx="676">
                  <c:v>Scientist, Bacteriology</c:v>
                </c:pt>
                <c:pt idx="677">
                  <c:v>Associate Director, Platform and DevOps- Data Engineering and Aritifical Intelligence</c:v>
                </c:pt>
                <c:pt idx="678">
                  <c:v>Data Scientist</c:v>
                </c:pt>
                <c:pt idx="679">
                  <c:v>Data Scientist</c:v>
                </c:pt>
                <c:pt idx="680">
                  <c:v>Senior Data Scientist</c:v>
                </c:pt>
                <c:pt idx="681">
                  <c:v>Senior Research Scientist-Machine Learning</c:v>
                </c:pt>
                <c:pt idx="682">
                  <c:v>Principal Data Scientist</c:v>
                </c:pt>
                <c:pt idx="683">
                  <c:v>Clinical Laboratory Scientist</c:v>
                </c:pt>
                <c:pt idx="684">
                  <c:v>Data Analyst 1, full-time contract worker for up to 12 months</c:v>
                </c:pt>
                <c:pt idx="685">
                  <c:v>Data Scientist</c:v>
                </c:pt>
                <c:pt idx="686">
                  <c:v>Data Scientist</c:v>
                </c:pt>
                <c:pt idx="687">
                  <c:v>Data Scientist</c:v>
                </c:pt>
                <c:pt idx="688">
                  <c:v>Data Engineer - Consultant (Charlotte Based)</c:v>
                </c:pt>
                <c:pt idx="689">
                  <c:v>Data Engineer</c:v>
                </c:pt>
                <c:pt idx="690">
                  <c:v>Data Scientist (Warehouse Automation)</c:v>
                </c:pt>
                <c:pt idx="691">
                  <c:v>Scientist, Immuno-Oncology</c:v>
                </c:pt>
                <c:pt idx="692">
                  <c:v>Senior Data Scientist</c:v>
                </c:pt>
                <c:pt idx="693">
                  <c:v>Jr. Data Scientist</c:v>
                </c:pt>
                <c:pt idx="694">
                  <c:v>Senior Data Scientist</c:v>
                </c:pt>
                <c:pt idx="695">
                  <c:v>Products Data Analyst II</c:v>
                </c:pt>
                <c:pt idx="696">
                  <c:v>Data Architect / Data Modeler</c:v>
                </c:pt>
                <c:pt idx="697">
                  <c:v>Analytics Manager - Data Mart</c:v>
                </c:pt>
                <c:pt idx="698">
                  <c:v>Lead Data Analyst</c:v>
                </c:pt>
                <c:pt idx="699">
                  <c:v>Data Science Engineer - Mobile</c:v>
                </c:pt>
                <c:pt idx="700">
                  <c:v>Senior Data Scientist Oncology</c:v>
                </c:pt>
                <c:pt idx="701">
                  <c:v>Data Scientist</c:v>
                </c:pt>
                <c:pt idx="702">
                  <c:v>Sr. Data Engineer - Contract-to-Hire (Java)</c:v>
                </c:pt>
                <c:pt idx="703">
                  <c:v>Senior Data Scientist - R&amp;D Oncology</c:v>
                </c:pt>
                <c:pt idx="704">
                  <c:v>Data Engineer</c:v>
                </c:pt>
                <c:pt idx="705">
                  <c:v>Food Scientist - Developer</c:v>
                </c:pt>
                <c:pt idx="706">
                  <c:v>Senior Data Engineer</c:v>
                </c:pt>
                <c:pt idx="707">
                  <c:v>Data Engineer</c:v>
                </c:pt>
                <c:pt idx="708">
                  <c:v>Senior Data Scientist</c:v>
                </c:pt>
                <c:pt idx="709">
                  <c:v>Director II, Data Science - GRM Actuarial</c:v>
                </c:pt>
                <c:pt idx="710">
                  <c:v>Machine Learning Engineer</c:v>
                </c:pt>
                <c:pt idx="711">
                  <c:v>Sr Expert Data Science, Advanced Visual Analytics (Associate level)</c:v>
                </c:pt>
                <c:pt idx="712">
                  <c:v>MED TECH/LAB SCIENTIST- SOUTH COASTAL LAB</c:v>
                </c:pt>
                <c:pt idx="713">
                  <c:v>Scientist, Molecular/Cellular Biologist</c:v>
                </c:pt>
                <c:pt idx="714">
                  <c:v>Staff Scientist-Downstream Process Development</c:v>
                </c:pt>
                <c:pt idx="715">
                  <c:v>Data Scientist</c:v>
                </c:pt>
                <c:pt idx="716">
                  <c:v>Scientist - Analytical Services</c:v>
                </c:pt>
                <c:pt idx="717">
                  <c:v>Associate Scientist / Sr. Associate Scientist, Antibody Discovery</c:v>
                </c:pt>
                <c:pt idx="718">
                  <c:v>Associate Data Analyst- Graduate Development Program</c:v>
                </c:pt>
                <c:pt idx="719">
                  <c:v>Sr. Data Engineer</c:v>
                </c:pt>
                <c:pt idx="720">
                  <c:v>Clinical Data Analyst</c:v>
                </c:pt>
                <c:pt idx="721">
                  <c:v>IT Associate Data Analyst</c:v>
                </c:pt>
                <c:pt idx="722">
                  <c:v>Business Data Analyst</c:v>
                </c:pt>
                <c:pt idx="723">
                  <c:v>Senior Insurance Data Scientist</c:v>
                </c:pt>
                <c:pt idx="724">
                  <c:v>Senior Data Science Systems Engineer</c:v>
                </c:pt>
                <c:pt idx="725">
                  <c:v>ENVIRONMENTAL ENGINEER/SCIENTIST</c:v>
                </c:pt>
                <c:pt idx="726">
                  <c:v>Senior Scientist - Regulatory Submissions</c:v>
                </c:pt>
                <c:pt idx="727">
                  <c:v>Scientist - Biomarker and Flow Cytometry</c:v>
                </c:pt>
                <c:pt idx="728">
                  <c:v>Revenue Analytics Manager</c:v>
                </c:pt>
                <c:pt idx="729">
                  <c:v>Sr. Scientist Method Development</c:v>
                </c:pt>
                <c:pt idx="730">
                  <c:v>Associate Scientist, LC/MS Biologics</c:v>
                </c:pt>
              </c:strCache>
            </c:strRef>
          </c:xVal>
          <c:yVal>
            <c:numRef>
              <c:f>'Rating Band'!$C$732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axId val="205448320"/>
        <c:axId val="205438336"/>
      </c:scatterChart>
      <c:valAx>
        <c:axId val="205448320"/>
        <c:scaling>
          <c:orientation val="minMax"/>
        </c:scaling>
        <c:axPos val="b"/>
        <c:tickLblPos val="nextTo"/>
        <c:crossAx val="205438336"/>
        <c:crosses val="autoZero"/>
        <c:crossBetween val="midCat"/>
      </c:valAx>
      <c:valAx>
        <c:axId val="205438336"/>
        <c:scaling>
          <c:orientation val="minMax"/>
        </c:scaling>
        <c:axPos val="l"/>
        <c:majorGridlines/>
        <c:numFmt formatCode="General" sourceLinked="1"/>
        <c:tickLblPos val="nextTo"/>
        <c:crossAx val="20544832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504825</xdr:colOff>
      <xdr:row>1</xdr:row>
      <xdr:rowOff>104775</xdr:rowOff>
    </xdr:from>
    <xdr:to>
      <xdr:col>18</xdr:col>
      <xdr:colOff>123825</xdr:colOff>
      <xdr:row>17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380999</xdr:colOff>
      <xdr:row>4</xdr:row>
      <xdr:rowOff>85725</xdr:rowOff>
    </xdr:from>
    <xdr:to>
      <xdr:col>16</xdr:col>
      <xdr:colOff>9524</xdr:colOff>
      <xdr:row>24</xdr:row>
      <xdr:rowOff>85725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552449</xdr:colOff>
      <xdr:row>2</xdr:row>
      <xdr:rowOff>85725</xdr:rowOff>
    </xdr:from>
    <xdr:to>
      <xdr:col>13</xdr:col>
      <xdr:colOff>123824</xdr:colOff>
      <xdr:row>17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1</xdr:row>
      <xdr:rowOff>66675</xdr:rowOff>
    </xdr:from>
    <xdr:to>
      <xdr:col>13</xdr:col>
      <xdr:colOff>171450</xdr:colOff>
      <xdr:row>17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0</xdr:row>
      <xdr:rowOff>0</xdr:rowOff>
    </xdr:from>
    <xdr:to>
      <xdr:col>14</xdr:col>
      <xdr:colOff>590550</xdr:colOff>
      <xdr:row>14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1095375</xdr:colOff>
      <xdr:row>10</xdr:row>
      <xdr:rowOff>152400</xdr:rowOff>
    </xdr:from>
    <xdr:to>
      <xdr:col>10</xdr:col>
      <xdr:colOff>295275</xdr:colOff>
      <xdr:row>25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1</xdr:row>
      <xdr:rowOff>114299</xdr:rowOff>
    </xdr:from>
    <xdr:to>
      <xdr:col>13</xdr:col>
      <xdr:colOff>266700</xdr:colOff>
      <xdr:row>20</xdr:row>
      <xdr:rowOff>66674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7</xdr:row>
      <xdr:rowOff>9525</xdr:rowOff>
    </xdr:from>
    <xdr:to>
      <xdr:col>12</xdr:col>
      <xdr:colOff>371475</xdr:colOff>
      <xdr:row>25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409574</xdr:colOff>
      <xdr:row>1</xdr:row>
      <xdr:rowOff>76200</xdr:rowOff>
    </xdr:from>
    <xdr:to>
      <xdr:col>13</xdr:col>
      <xdr:colOff>95249</xdr:colOff>
      <xdr:row>17</xdr:row>
      <xdr:rowOff>152399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1</xdr:row>
      <xdr:rowOff>114300</xdr:rowOff>
    </xdr:from>
    <xdr:to>
      <xdr:col>13</xdr:col>
      <xdr:colOff>523874</xdr:colOff>
      <xdr:row>19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7</xdr:row>
      <xdr:rowOff>95250</xdr:rowOff>
    </xdr:from>
    <xdr:to>
      <xdr:col>7</xdr:col>
      <xdr:colOff>333375</xdr:colOff>
      <xdr:row>25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1943100</xdr:colOff>
      <xdr:row>722</xdr:row>
      <xdr:rowOff>161925</xdr:rowOff>
    </xdr:from>
    <xdr:to>
      <xdr:col>6</xdr:col>
      <xdr:colOff>352425</xdr:colOff>
      <xdr:row>737</xdr:row>
      <xdr:rowOff>47625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sd m.2" refreshedDate="46090.717800115737" createdVersion="3" refreshedVersion="3" minRefreshableVersion="3" recordCount="16">
  <cacheSource type="worksheet">
    <worksheetSource ref="A3:B19" sheet="CityCount"/>
  </cacheSource>
  <cacheFields count="2">
    <cacheField name="Row Labels" numFmtId="0">
      <sharedItems count="16">
        <s v="New York"/>
        <s v="San Francisco"/>
        <s v="Cambridge"/>
        <s v="Chicago"/>
        <s v="Boston"/>
        <s v="San Jose"/>
        <s v="Pittsburgh"/>
        <s v="Rockville"/>
        <s v="Washington"/>
        <s v="Springfield"/>
        <s v="Winston-Salem"/>
        <s v="Herndon"/>
        <s v="Richland"/>
        <s v="Indianapolis"/>
        <s v="San Diego"/>
        <s v="Grand Total"/>
      </sharedItems>
    </cacheField>
    <cacheField name="Count of Job Title" numFmtId="0">
      <sharedItems containsSemiMixedTypes="0" containsString="0" containsNumber="1" containsInteger="1" minValue="9" maxValue="312" count="11">
        <n v="55"/>
        <n v="49"/>
        <n v="48"/>
        <n v="32"/>
        <n v="23"/>
        <n v="13"/>
        <n v="12"/>
        <n v="11"/>
        <n v="10"/>
        <n v="9"/>
        <n v="312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sd m.2" refreshedDate="46090.745804166669" createdVersion="3" refreshedVersion="3" minRefreshableVersion="3" recordCount="742">
  <cacheSource type="worksheet">
    <worksheetSource ref="A1:M743" sheet="data_cleaned_2021"/>
  </cacheSource>
  <cacheFields count="13">
    <cacheField name="Job Title" numFmtId="0">
      <sharedItems/>
    </cacheField>
    <cacheField name="Exp Level" numFmtId="0">
      <sharedItems count="4">
        <s v="Mid-Level"/>
        <s v="Senior"/>
        <s v="Junior"/>
        <s v="Management"/>
      </sharedItems>
    </cacheField>
    <cacheField name="Job Category" numFmtId="0">
      <sharedItems count="7">
        <s v="Data Scientist"/>
        <s v="Research Scientist"/>
        <s v="Data Analyst"/>
        <s v="Data Engineer"/>
        <s v="ML Engineer"/>
        <s v="Director/VP"/>
        <s v="DS Manager"/>
      </sharedItems>
    </cacheField>
    <cacheField name="Rating" numFmtId="0">
      <sharedItems containsSemiMixedTypes="0" containsString="0" containsNumber="1" minValue="-1" maxValue="5"/>
    </cacheField>
    <cacheField name="Location" numFmtId="0">
      <sharedItems/>
    </cacheField>
    <cacheField name="City " numFmtId="0">
      <sharedItems count="195">
        <s v="Albuquerque"/>
        <s v="Linthicum"/>
        <s v="Clearwater"/>
        <s v="Richland"/>
        <s v="New York"/>
        <s v="Dallas"/>
        <s v="Baltimore"/>
        <s v="San Jose"/>
        <s v="Rochester"/>
        <s v="Chantilly"/>
        <s v="Plano"/>
        <s v="Seattle"/>
        <s v="Cambridge"/>
        <s v="Newark"/>
        <s v="Mountain View"/>
        <s v="San Francisco"/>
        <s v="Denver"/>
        <s v="Chicago"/>
        <s v="Louisville"/>
        <s v="Herndon"/>
        <s v="Hillsboro"/>
        <s v="Worcester"/>
        <s v="Groton"/>
        <s v="Detroit"/>
        <s v="Sunnyvale"/>
        <s v="Ipswich"/>
        <s v="Redlands"/>
        <s v="Woburn"/>
        <s v="Fremont"/>
        <s v="Long Beach"/>
        <s v="Marlborough"/>
        <s v="Allendale"/>
        <s v="Washington"/>
        <s v="Bellevue"/>
        <s v="Longmont"/>
        <s v="Beavercreek"/>
        <s v="Peoria"/>
        <s v="Fort Lauderdale"/>
        <s v="Boston"/>
        <s v="Huntsville"/>
        <s v="Armonk"/>
        <s v="San Diego"/>
        <s v="Saint Louis"/>
        <s v="Cincinnati"/>
        <s v="Palo Alto"/>
        <s v="Coraopolis"/>
        <s v="Framingham"/>
        <s v="Atlanta"/>
        <s v="Philadelphia"/>
        <s v="Vancouver"/>
        <s v="Indianapolis"/>
        <s v="Lake Forest"/>
        <s v="Maryland Heights"/>
        <s v="Charlottesville"/>
        <s v="Pittsburgh"/>
        <s v="Harrisburg"/>
        <s v="Laurel"/>
        <s v="Arlington"/>
        <s v="Tacoma"/>
        <s v="Miami"/>
        <s v="New Orleans"/>
        <s v="Landover"/>
        <s v="Patuxent River"/>
        <s v="Suitland"/>
        <s v="McLean"/>
        <s v="Fort Belvoir"/>
        <s v="Milwaukee"/>
        <s v="Silver Spring"/>
        <s v="Syracuse"/>
        <s v="Houston"/>
        <s v="Charlotte"/>
        <s v="Southfield"/>
        <s v="Matawan"/>
        <s v="Phoenix"/>
        <s v="Omaha"/>
        <s v="Lyndhurst"/>
        <s v="Rockville"/>
        <s v="Minneapolis"/>
        <s v="Los Angeles"/>
        <s v="Alabaster"/>
        <s v="Santa Fe Springs"/>
        <s v="Kansas City"/>
        <s v="Ashburn"/>
        <s v="Fort Worth"/>
        <s v="Valencia"/>
        <s v="Novato"/>
        <s v="Aurora"/>
        <s v="Tampa"/>
        <s v="Riverton"/>
        <s v="Chattanooga"/>
        <s v="Ewing"/>
        <s v="South San Francisco"/>
        <s v="Cupertino"/>
        <s v="Frederick"/>
        <s v="West Reading"/>
        <s v="Madison"/>
        <s v="Dearborn"/>
        <s v="Winter Park"/>
        <s v="San Rafael"/>
        <s v="Hamilton"/>
        <s v="Woodbridge"/>
        <s v="Lewes"/>
        <s v="Springfield"/>
        <s v="Burbank"/>
        <s v="Newton"/>
        <s v="Salt Lake City"/>
        <s v="Lafayette"/>
        <s v="Annapolis Junction"/>
        <s v="Highland"/>
        <s v="Burleson"/>
        <s v="Hoopeston"/>
        <s v="Scotts Valley"/>
        <s v="Knoxville"/>
        <s v="Millville"/>
        <s v="Sheboygan"/>
        <s v="San Mateo"/>
        <s v="Dayton"/>
        <s v="Parlier"/>
        <s v="Meridian"/>
        <s v="Cherry Hill"/>
        <s v="Nashville"/>
        <s v="Portland"/>
        <s v="Port Washington"/>
        <s v="Austin"/>
        <s v="Providence"/>
        <s v="Raleigh"/>
        <s v="Phila"/>
        <s v="Oakland"/>
        <s v="Boise"/>
        <s v="Oak Ridge"/>
        <s v="Agoura Hills"/>
        <s v="Pella"/>
        <s v="San Ramon"/>
        <s v="Red Bank"/>
        <s v="Columbia"/>
        <s v="San Antonio"/>
        <s v="Portsmouth"/>
        <s v="West Palm Beach"/>
        <s v="Exton"/>
        <s v="Alexandria"/>
        <s v="Owensboro"/>
        <s v="Hartford"/>
        <s v="Orange"/>
        <s v="Lenexa"/>
        <s v="Concord"/>
        <s v="Vail"/>
        <s v="Natick"/>
        <s v="Winston-Salem"/>
        <s v="Richfield"/>
        <s v="Hampton"/>
        <s v="Ithaca"/>
        <s v="Marietta"/>
        <s v="Quincy"/>
        <s v="Green Bay"/>
        <s v="Durham"/>
        <s v="Clovis"/>
        <s v="Chandler"/>
        <s v="Orlando"/>
        <s v="Westlake"/>
        <s v="Des Moines"/>
        <s v="Cedar Rapids"/>
        <s v="Fort Lee"/>
        <s v="Blue Bell"/>
        <s v="Jersey City"/>
        <s v="Emeryville"/>
        <s v="Santa Barbara"/>
        <s v="Carle Place"/>
        <s v="King of Prussia"/>
        <s v="Santa Clara"/>
        <s v="Brisbane"/>
        <s v="Foster City"/>
        <s v="Holyoke"/>
        <s v="Waltham"/>
        <s v="Corvallis"/>
        <s v="Gaithersburg"/>
        <s v="Bedford"/>
        <s v="Aliso Viejo"/>
        <s v="Dublin"/>
        <s v="Arvada"/>
        <s v="Franklin"/>
        <s v="Plymouth Meeting"/>
        <s v="Allentown"/>
        <s v="Logan"/>
        <s v="Birmingham"/>
        <s v="Reston"/>
        <s v="Scottsdale"/>
        <s v="Bloomington"/>
        <s v="Alameda"/>
        <s v="Roanoke"/>
        <s v="Glen Burnie"/>
        <s v="Milpitas"/>
        <s v="Watertown"/>
        <s v="Irvine"/>
        <s v="Ann Arbor"/>
        <s v="Olympia"/>
      </sharedItems>
    </cacheField>
    <cacheField name="Size" numFmtId="0">
      <sharedItems containsDate="1" containsMixedTypes="1" minDate="1950-01-01T00:00:00" maxDate="1950-01-02T00:00:00" count="8">
        <s v="501 - 1000 "/>
        <s v="10000+ "/>
        <s v="1001 - 5000 "/>
        <s v="51 - 200 "/>
        <s v="201 - 500 "/>
        <s v="5001 - 10000 "/>
        <d v="1950-01-01T00:00:00"/>
        <s v="unknown"/>
      </sharedItems>
    </cacheField>
    <cacheField name="Industry" numFmtId="0">
      <sharedItems containsMixedTypes="1" containsNumber="1" containsInteger="1" minValue="-1" maxValue="-1" count="60">
        <s v="Aerospace &amp; Defense"/>
        <s v="Health Care Services &amp; Hospitals"/>
        <s v="Security Services"/>
        <s v="Energy"/>
        <s v="Advertising &amp; Marketing"/>
        <s v="Real Estate"/>
        <s v="Banks &amp; Credit Unions"/>
        <s v="Consulting"/>
        <s v="Internet"/>
        <s v="Other Retail Stores"/>
        <s v="Research &amp; Development"/>
        <s v="Department, Clothing, &amp; Shoe Stores"/>
        <s v="Biotech &amp; Pharmaceuticals"/>
        <s v="Motion Picture Production &amp; Distribution"/>
        <s v="Enterprise Software &amp; Network Solutions"/>
        <s v="Insurance Carriers"/>
        <s v="Insurance Agencies &amp; Brokerages"/>
        <s v="Logistics &amp; Supply Chain"/>
        <s v="Telecommunications Services"/>
        <s v="IT Services"/>
        <s v="Computer Hardware &amp; Software"/>
        <n v="-1"/>
        <s v="Consumer Products Manufacturing"/>
        <s v="Industrial Manufacturing"/>
        <s v="Metals Brokers"/>
        <s v="Financial Transaction Processing"/>
        <s v="Sporting Goods Stores"/>
        <s v="Staffing &amp; Outsourcing"/>
        <s v="Wholesale"/>
        <s v="Mining"/>
        <s v="Financial Analytics &amp; Research"/>
        <s v="Federal Agencies"/>
        <s v="Education Training Services"/>
        <s v="Transportation Equipment Manufacturing"/>
        <s v="Farm Support Services"/>
        <s v="TV Broadcast &amp; Cable Networks"/>
        <s v="Architectural &amp; Engineering Services"/>
        <s v="Brokerage Services"/>
        <s v="Travel Agencies"/>
        <s v="Religious Organizations"/>
        <s v="Colleges &amp; Universities"/>
        <s v="Investment Banking &amp; Asset Management"/>
        <s v="Lending"/>
        <s v="Gambling"/>
        <s v="Food &amp; Beverage Manufacturing"/>
        <s v="Gas Stations"/>
        <s v="Transportation Management"/>
        <s v="Video Games"/>
        <s v="Trucking"/>
        <s v="Social Assistance"/>
        <s v="Auctions &amp; Galleries"/>
        <s v="K-12 Education"/>
        <s v="Telecommunications Manufacturing"/>
        <s v="Stock Exchanges"/>
        <s v="Construction"/>
        <s v="Accounting"/>
        <s v="Health Care Products Manufacturing"/>
        <s v="Health, Beauty, &amp; Fitness"/>
        <s v="Consumer Product Rental"/>
        <s v="Beauty &amp; Personal Accessories Stores"/>
      </sharedItems>
    </cacheField>
    <cacheField name="Lower Salary(in K)" numFmtId="0">
      <sharedItems containsSemiMixedTypes="0" containsString="0" containsNumber="1" containsInteger="1" minValue="15" maxValue="202"/>
    </cacheField>
    <cacheField name="Upper Salary(in K )" numFmtId="0">
      <sharedItems containsSemiMixedTypes="0" containsString="0" containsNumber="1" containsInteger="1" minValue="16" maxValue="306"/>
    </cacheField>
    <cacheField name="Avg Salary(K)" numFmtId="0">
      <sharedItems containsSemiMixedTypes="0" containsString="0" containsNumber="1" minValue="15.5" maxValue="254"/>
    </cacheField>
    <cacheField name="Salary Range " numFmtId="0">
      <sharedItems count="6">
        <s v="$50–75K"/>
        <s v="$75–100K"/>
        <s v="$100–125K"/>
        <s v="$125–150K"/>
        <s v="&gt;$150K"/>
        <s v="&lt;$50K"/>
      </sharedItems>
    </cacheField>
    <cacheField name="Age" numFmtId="0">
      <sharedItems containsSemiMixedTypes="0" containsString="0" containsNumber="1" containsInteger="1" minValue="-1" maxValue="277"/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ssd m.2" refreshedDate="46090.7595349537" createdVersion="3" refreshedVersion="3" minRefreshableVersion="3" recordCount="742">
  <cacheSource type="worksheet">
    <worksheetSource ref="A1:B743" sheet="RatingScatter"/>
  </cacheSource>
  <cacheFields count="2">
    <cacheField name="Rating" numFmtId="0">
      <sharedItems containsSemiMixedTypes="0" containsString="0" containsNumber="1" minValue="-1" maxValue="5"/>
    </cacheField>
    <cacheField name="Avg Salary(K)" numFmtId="0">
      <sharedItems containsSemiMixedTypes="0" containsString="0" containsNumber="1" minValue="15.5" maxValue="254"/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ssd m.2" refreshedDate="46090.774038657408" createdVersion="3" refreshedVersion="3" minRefreshableVersion="3" recordCount="731">
  <cacheSource type="worksheet">
    <worksheetSource ref="A1:C732" sheet="Rating Band"/>
  </cacheSource>
  <cacheFields count="3">
    <cacheField name="Rating Band" numFmtId="0">
      <sharedItems count="5">
        <s v="3.5–4.0"/>
        <s v="3.0–3.5"/>
        <s v="4.5+"/>
        <s v="Under 3.0"/>
        <s v="4.0–4.5"/>
      </sharedItems>
    </cacheField>
    <cacheField name="Avg Salary(K)" numFmtId="0">
      <sharedItems containsSemiMixedTypes="0" containsString="0" containsNumber="1" minValue="15.5" maxValue="254"/>
    </cacheField>
    <cacheField name="Job Title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7"/>
  </r>
  <r>
    <x v="9"/>
    <x v="8"/>
  </r>
  <r>
    <x v="10"/>
    <x v="8"/>
  </r>
  <r>
    <x v="11"/>
    <x v="8"/>
  </r>
  <r>
    <x v="12"/>
    <x v="8"/>
  </r>
  <r>
    <x v="13"/>
    <x v="9"/>
  </r>
  <r>
    <x v="14"/>
    <x v="9"/>
  </r>
  <r>
    <x v="15"/>
    <x v="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42">
  <r>
    <s v="Data Scientist"/>
    <x v="0"/>
    <x v="0"/>
    <n v="3.8"/>
    <s v="Albuquerque, NM"/>
    <x v="0"/>
    <x v="0"/>
    <x v="0"/>
    <n v="53"/>
    <n v="91"/>
    <n v="72"/>
    <x v="0"/>
    <n v="48"/>
  </r>
  <r>
    <s v="Healthcare Data Scientist"/>
    <x v="0"/>
    <x v="0"/>
    <n v="3.4"/>
    <s v="Linthicum, MD"/>
    <x v="1"/>
    <x v="1"/>
    <x v="1"/>
    <n v="63"/>
    <n v="112"/>
    <n v="87.5"/>
    <x v="1"/>
    <n v="37"/>
  </r>
  <r>
    <s v="Data Scientist"/>
    <x v="0"/>
    <x v="0"/>
    <n v="4.8"/>
    <s v="Clearwater, FL"/>
    <x v="2"/>
    <x v="0"/>
    <x v="2"/>
    <n v="80"/>
    <n v="90"/>
    <n v="85"/>
    <x v="1"/>
    <n v="11"/>
  </r>
  <r>
    <s v="Data Scientist"/>
    <x v="0"/>
    <x v="0"/>
    <n v="3.8"/>
    <s v="Richland, WA"/>
    <x v="3"/>
    <x v="2"/>
    <x v="3"/>
    <n v="56"/>
    <n v="97"/>
    <n v="76.5"/>
    <x v="1"/>
    <n v="56"/>
  </r>
  <r>
    <s v="Data Scientist"/>
    <x v="0"/>
    <x v="0"/>
    <n v="2.9"/>
    <s v="New York, NY"/>
    <x v="4"/>
    <x v="3"/>
    <x v="4"/>
    <n v="86"/>
    <n v="143"/>
    <n v="114.5"/>
    <x v="2"/>
    <n v="23"/>
  </r>
  <r>
    <s v="Data Scientist"/>
    <x v="0"/>
    <x v="0"/>
    <n v="3.4"/>
    <s v="Dallas, TX"/>
    <x v="5"/>
    <x v="4"/>
    <x v="5"/>
    <n v="71"/>
    <n v="119"/>
    <n v="95"/>
    <x v="1"/>
    <n v="21"/>
  </r>
  <r>
    <s v="Data Scientist"/>
    <x v="0"/>
    <x v="0"/>
    <n v="4.0999999999999996"/>
    <s v="Baltimore, MD"/>
    <x v="6"/>
    <x v="0"/>
    <x v="6"/>
    <n v="54"/>
    <n v="93"/>
    <n v="73.5"/>
    <x v="0"/>
    <n v="13"/>
  </r>
  <r>
    <s v="Data Scientist"/>
    <x v="0"/>
    <x v="0"/>
    <n v="3.8"/>
    <s v="San Jose, CA"/>
    <x v="7"/>
    <x v="4"/>
    <x v="7"/>
    <n v="86"/>
    <n v="142"/>
    <n v="114"/>
    <x v="2"/>
    <n v="16"/>
  </r>
  <r>
    <s v="Research Scientist"/>
    <x v="0"/>
    <x v="1"/>
    <n v="3.3"/>
    <s v="Rochester, NY"/>
    <x v="8"/>
    <x v="1"/>
    <x v="1"/>
    <n v="38"/>
    <n v="84"/>
    <n v="61"/>
    <x v="0"/>
    <n v="7"/>
  </r>
  <r>
    <s v="Data Scientist"/>
    <x v="0"/>
    <x v="0"/>
    <n v="4.5999999999999996"/>
    <s v="New York, NY"/>
    <x v="4"/>
    <x v="3"/>
    <x v="8"/>
    <n v="120"/>
    <n v="160"/>
    <n v="140"/>
    <x v="3"/>
    <n v="12"/>
  </r>
  <r>
    <s v="Data Scientist"/>
    <x v="0"/>
    <x v="0"/>
    <n v="3.5"/>
    <s v="San Jose, CA"/>
    <x v="7"/>
    <x v="0"/>
    <x v="9"/>
    <n v="126"/>
    <n v="201"/>
    <n v="163.5"/>
    <x v="4"/>
    <n v="10"/>
  </r>
  <r>
    <s v="Data Scientist"/>
    <x v="0"/>
    <x v="0"/>
    <n v="4.0999999999999996"/>
    <s v="Chantilly, VA"/>
    <x v="9"/>
    <x v="5"/>
    <x v="10"/>
    <n v="64"/>
    <n v="106"/>
    <n v="85"/>
    <x v="1"/>
    <n v="53"/>
  </r>
  <r>
    <s v="Staff Data Scientist - Technology"/>
    <x v="0"/>
    <x v="0"/>
    <n v="3.2"/>
    <s v="Plano, TX"/>
    <x v="10"/>
    <x v="1"/>
    <x v="11"/>
    <n v="106"/>
    <n v="172"/>
    <n v="139"/>
    <x v="3"/>
    <n v="59"/>
  </r>
  <r>
    <s v="Data Analyst"/>
    <x v="0"/>
    <x v="2"/>
    <n v="4.0999999999999996"/>
    <s v="Seattle, WA"/>
    <x v="11"/>
    <x v="4"/>
    <x v="4"/>
    <n v="46"/>
    <n v="85"/>
    <n v="65.5"/>
    <x v="0"/>
    <n v="9"/>
  </r>
  <r>
    <s v="Data Scientist"/>
    <x v="0"/>
    <x v="0"/>
    <n v="3.7"/>
    <s v="Cambridge, MA"/>
    <x v="12"/>
    <x v="1"/>
    <x v="12"/>
    <n v="83"/>
    <n v="144"/>
    <n v="113.5"/>
    <x v="2"/>
    <n v="240"/>
  </r>
  <r>
    <s v="Data Engineer I"/>
    <x v="0"/>
    <x v="3"/>
    <n v="3.6"/>
    <s v="Newark, NJ"/>
    <x v="13"/>
    <x v="2"/>
    <x v="13"/>
    <n v="102"/>
    <n v="190"/>
    <n v="146"/>
    <x v="3"/>
    <n v="26"/>
  </r>
  <r>
    <s v="Scientist I/II, Biology"/>
    <x v="0"/>
    <x v="0"/>
    <n v="3.9"/>
    <s v="Cambridge, MA"/>
    <x v="12"/>
    <x v="3"/>
    <x v="12"/>
    <n v="67"/>
    <n v="137"/>
    <n v="102"/>
    <x v="2"/>
    <n v="10"/>
  </r>
  <r>
    <s v="Customer Data Scientist"/>
    <x v="0"/>
    <x v="0"/>
    <n v="4.3"/>
    <s v="Mountain View, CA"/>
    <x v="14"/>
    <x v="4"/>
    <x v="14"/>
    <n v="118"/>
    <n v="189"/>
    <n v="153.5"/>
    <x v="4"/>
    <n v="10"/>
  </r>
  <r>
    <s v="Data Scientist - Health Data Analytics"/>
    <x v="0"/>
    <x v="0"/>
    <n v="4.2"/>
    <s v="San Francisco, CA"/>
    <x v="15"/>
    <x v="3"/>
    <x v="14"/>
    <n v="110"/>
    <n v="175"/>
    <n v="142.5"/>
    <x v="3"/>
    <n v="11"/>
  </r>
  <r>
    <s v="Data Scientist"/>
    <x v="0"/>
    <x v="0"/>
    <n v="4"/>
    <s v="Denver, CO"/>
    <x v="16"/>
    <x v="0"/>
    <x v="15"/>
    <n v="64"/>
    <n v="111"/>
    <n v="87.5"/>
    <x v="1"/>
    <n v="106"/>
  </r>
  <r>
    <s v="Data Scientist"/>
    <x v="0"/>
    <x v="0"/>
    <n v="3.2"/>
    <s v="Seattle, WA"/>
    <x v="11"/>
    <x v="4"/>
    <x v="8"/>
    <n v="81"/>
    <n v="130"/>
    <n v="105.5"/>
    <x v="2"/>
    <n v="9"/>
  </r>
  <r>
    <s v="Senior Data Scientist / Machine Learning"/>
    <x v="1"/>
    <x v="4"/>
    <n v="3.9"/>
    <s v="Dallas, TX"/>
    <x v="5"/>
    <x v="4"/>
    <x v="16"/>
    <n v="73"/>
    <n v="119"/>
    <n v="96"/>
    <x v="1"/>
    <n v="8"/>
  </r>
  <r>
    <s v="Data Scientist - Quantitative"/>
    <x v="0"/>
    <x v="0"/>
    <n v="3.8"/>
    <s v="Chicago, IL"/>
    <x v="17"/>
    <x v="0"/>
    <x v="17"/>
    <n v="86"/>
    <n v="139"/>
    <n v="112.5"/>
    <x v="2"/>
    <n v="26"/>
  </r>
  <r>
    <s v="Data Scientist"/>
    <x v="0"/>
    <x v="0"/>
    <n v="4.3"/>
    <s v="Louisville, KY"/>
    <x v="18"/>
    <x v="3"/>
    <x v="17"/>
    <n v="63"/>
    <n v="105"/>
    <n v="84"/>
    <x v="1"/>
    <n v="86"/>
  </r>
  <r>
    <s v="Data Scientist"/>
    <x v="0"/>
    <x v="0"/>
    <n v="4"/>
    <s v="Herndon, VA"/>
    <x v="19"/>
    <x v="0"/>
    <x v="14"/>
    <n v="109"/>
    <n v="177"/>
    <n v="143"/>
    <x v="3"/>
    <n v="9"/>
  </r>
  <r>
    <s v="Digital Health Data Scientist"/>
    <x v="0"/>
    <x v="0"/>
    <n v="4"/>
    <s v="Cambridge, MA"/>
    <x v="12"/>
    <x v="1"/>
    <x v="12"/>
    <n v="63"/>
    <n v="110"/>
    <n v="86.5"/>
    <x v="1"/>
    <n v="172"/>
  </r>
  <r>
    <s v="Data Scientist"/>
    <x v="0"/>
    <x v="0"/>
    <n v="3.5"/>
    <s v="Hillsboro, OR"/>
    <x v="20"/>
    <x v="2"/>
    <x v="6"/>
    <n v="75"/>
    <n v="124"/>
    <n v="99.5"/>
    <x v="1"/>
    <n v="69"/>
  </r>
  <r>
    <s v="Associate Data Analyst"/>
    <x v="2"/>
    <x v="2"/>
    <n v="3.7"/>
    <s v="Worcester, MA"/>
    <x v="21"/>
    <x v="5"/>
    <x v="15"/>
    <n v="34"/>
    <n v="61"/>
    <n v="47.5"/>
    <x v="5"/>
    <n v="169"/>
  </r>
  <r>
    <s v="Clinical Data Scientist"/>
    <x v="0"/>
    <x v="0"/>
    <n v="4"/>
    <s v="Groton, CT"/>
    <x v="22"/>
    <x v="1"/>
    <x v="12"/>
    <n v="63"/>
    <n v="105"/>
    <n v="84"/>
    <x v="1"/>
    <n v="172"/>
  </r>
  <r>
    <s v="Data Scientist"/>
    <x v="0"/>
    <x v="0"/>
    <n v="4.8"/>
    <s v="Clearwater, FL"/>
    <x v="2"/>
    <x v="0"/>
    <x v="2"/>
    <n v="80"/>
    <n v="90"/>
    <n v="85"/>
    <x v="1"/>
    <n v="11"/>
  </r>
  <r>
    <s v="Data Scientist"/>
    <x v="0"/>
    <x v="0"/>
    <n v="3.8"/>
    <s v="Richland, WA"/>
    <x v="3"/>
    <x v="2"/>
    <x v="3"/>
    <n v="56"/>
    <n v="97"/>
    <n v="76.5"/>
    <x v="1"/>
    <n v="56"/>
  </r>
  <r>
    <s v="Data Scientist"/>
    <x v="0"/>
    <x v="0"/>
    <n v="3.6"/>
    <s v="Detroit, MI"/>
    <x v="23"/>
    <x v="2"/>
    <x v="5"/>
    <n v="72"/>
    <n v="120"/>
    <n v="96"/>
    <x v="1"/>
    <n v="24"/>
  </r>
  <r>
    <s v="Data Scientist / Machine Learning Expert"/>
    <x v="0"/>
    <x v="4"/>
    <n v="3.8"/>
    <s v="Cambridge, MA"/>
    <x v="12"/>
    <x v="1"/>
    <x v="12"/>
    <n v="86"/>
    <n v="143"/>
    <n v="114.5"/>
    <x v="2"/>
    <n v="25"/>
  </r>
  <r>
    <s v="Data Scientist"/>
    <x v="0"/>
    <x v="0"/>
    <n v="3.8"/>
    <s v="Sunnyvale, CA"/>
    <x v="24"/>
    <x v="5"/>
    <x v="18"/>
    <n v="93"/>
    <n v="149"/>
    <n v="121"/>
    <x v="2"/>
    <n v="25"/>
  </r>
  <r>
    <s v="Data Scientist"/>
    <x v="0"/>
    <x v="0"/>
    <n v="4.7"/>
    <s v="Ipswich, MA"/>
    <x v="25"/>
    <x v="4"/>
    <x v="12"/>
    <n v="85"/>
    <n v="140"/>
    <n v="112.5"/>
    <x v="2"/>
    <n v="47"/>
  </r>
  <r>
    <s v="Web Data Analyst"/>
    <x v="0"/>
    <x v="2"/>
    <n v="4.2"/>
    <s v="San Jose, CA"/>
    <x v="7"/>
    <x v="4"/>
    <x v="19"/>
    <n v="77"/>
    <n v="135"/>
    <n v="106"/>
    <x v="2"/>
    <n v="13"/>
  </r>
  <r>
    <s v="Data Scientist"/>
    <x v="0"/>
    <x v="0"/>
    <n v="3.5"/>
    <s v="Redlands, CA"/>
    <x v="26"/>
    <x v="2"/>
    <x v="20"/>
    <n v="82"/>
    <n v="132"/>
    <n v="107"/>
    <x v="2"/>
    <n v="52"/>
  </r>
  <r>
    <s v="Data Scientist"/>
    <x v="0"/>
    <x v="0"/>
    <n v="4.7"/>
    <s v="Woburn, MA"/>
    <x v="27"/>
    <x v="4"/>
    <x v="0"/>
    <n v="83"/>
    <n v="137"/>
    <n v="110"/>
    <x v="2"/>
    <n v="11"/>
  </r>
  <r>
    <s v="Senior Data Scientist"/>
    <x v="1"/>
    <x v="0"/>
    <n v="3.5"/>
    <s v="Fremont, CA"/>
    <x v="28"/>
    <x v="5"/>
    <x v="12"/>
    <n v="115"/>
    <n v="180"/>
    <n v="147.5"/>
    <x v="3"/>
    <n v="151"/>
  </r>
  <r>
    <s v="Data Engineer"/>
    <x v="0"/>
    <x v="3"/>
    <n v="3.5"/>
    <s v="Long Beach, NY"/>
    <x v="29"/>
    <x v="4"/>
    <x v="15"/>
    <n v="74"/>
    <n v="138"/>
    <n v="106"/>
    <x v="2"/>
    <n v="36"/>
  </r>
  <r>
    <s v="Data Analyst"/>
    <x v="0"/>
    <x v="2"/>
    <n v="4.2"/>
    <s v="San Francisco, CA"/>
    <x v="15"/>
    <x v="4"/>
    <x v="19"/>
    <n v="64"/>
    <n v="112"/>
    <n v="88"/>
    <x v="1"/>
    <n v="13"/>
  </r>
  <r>
    <s v="Data Engineer"/>
    <x v="0"/>
    <x v="3"/>
    <n v="3.6"/>
    <s v="Marlborough, MA"/>
    <x v="30"/>
    <x v="6"/>
    <x v="21"/>
    <n v="68"/>
    <n v="129"/>
    <n v="98.5"/>
    <x v="1"/>
    <n v="-1"/>
  </r>
  <r>
    <s v="Data Scientist - Algorithms &amp; Inference"/>
    <x v="0"/>
    <x v="0"/>
    <n v="4.2"/>
    <s v="San Francisco, CA"/>
    <x v="15"/>
    <x v="3"/>
    <x v="14"/>
    <n v="110"/>
    <n v="175"/>
    <n v="142.5"/>
    <x v="3"/>
    <n v="11"/>
  </r>
  <r>
    <s v="Scientist"/>
    <x v="0"/>
    <x v="0"/>
    <n v="3.4"/>
    <s v="Allendale, NJ"/>
    <x v="31"/>
    <x v="5"/>
    <x v="22"/>
    <n v="52"/>
    <n v="113"/>
    <n v="82.5"/>
    <x v="1"/>
    <n v="6"/>
  </r>
  <r>
    <s v="Senior Data Scientist"/>
    <x v="1"/>
    <x v="0"/>
    <n v="4.3"/>
    <s v="Chicago, IL"/>
    <x v="17"/>
    <x v="2"/>
    <x v="5"/>
    <n v="110"/>
    <n v="150"/>
    <n v="130"/>
    <x v="3"/>
    <n v="28"/>
  </r>
  <r>
    <s v="Data Scientist"/>
    <x v="0"/>
    <x v="0"/>
    <n v="5"/>
    <s v="Washington, DC"/>
    <x v="32"/>
    <x v="7"/>
    <x v="14"/>
    <n v="150"/>
    <n v="160"/>
    <n v="155"/>
    <x v="4"/>
    <n v="-1"/>
  </r>
  <r>
    <s v="Lead Data Scientist"/>
    <x v="1"/>
    <x v="0"/>
    <n v="3.7"/>
    <s v="Bellevue, WA"/>
    <x v="33"/>
    <x v="1"/>
    <x v="19"/>
    <n v="158"/>
    <n v="211"/>
    <n v="184.5"/>
    <x v="4"/>
    <n v="63"/>
  </r>
  <r>
    <s v="Associate Data Analyst"/>
    <x v="2"/>
    <x v="2"/>
    <n v="3.1"/>
    <s v="Longmont, CO"/>
    <x v="34"/>
    <x v="5"/>
    <x v="14"/>
    <n v="20"/>
    <n v="39"/>
    <n v="29.5"/>
    <x v="5"/>
    <n v="35"/>
  </r>
  <r>
    <s v="Spectral Scientist/Engineer"/>
    <x v="0"/>
    <x v="0"/>
    <n v="4.7"/>
    <s v="Beavercreek, OH"/>
    <x v="35"/>
    <x v="0"/>
    <x v="0"/>
    <n v="56"/>
    <n v="117"/>
    <n v="86.5"/>
    <x v="1"/>
    <n v="22"/>
  </r>
  <r>
    <s v="College Hire - Data Scientist - Open to December 2019 Graduates"/>
    <x v="0"/>
    <x v="0"/>
    <n v="3.7"/>
    <s v="Peoria, IL"/>
    <x v="36"/>
    <x v="1"/>
    <x v="23"/>
    <n v="63"/>
    <n v="99"/>
    <n v="81"/>
    <x v="1"/>
    <n v="96"/>
  </r>
  <r>
    <s v="Data Scientist"/>
    <x v="0"/>
    <x v="0"/>
    <n v="3.8"/>
    <s v="Fort Lauderdale, FL"/>
    <x v="37"/>
    <x v="0"/>
    <x v="4"/>
    <n v="68"/>
    <n v="114"/>
    <n v="91"/>
    <x v="1"/>
    <n v="37"/>
  </r>
  <r>
    <s v="Data Scientist, Office of Data Science"/>
    <x v="0"/>
    <x v="0"/>
    <n v="3.3"/>
    <s v="Boston, MA"/>
    <x v="38"/>
    <x v="1"/>
    <x v="15"/>
    <n v="86"/>
    <n v="143"/>
    <n v="114.5"/>
    <x v="2"/>
    <n v="109"/>
  </r>
  <r>
    <s v="Data Science Analyst"/>
    <x v="0"/>
    <x v="0"/>
    <n v="4.5999999999999996"/>
    <s v="Huntsville, AL"/>
    <x v="39"/>
    <x v="2"/>
    <x v="0"/>
    <n v="41"/>
    <n v="95"/>
    <n v="68"/>
    <x v="0"/>
    <n v="19"/>
  </r>
  <r>
    <s v="Data Scientist"/>
    <x v="0"/>
    <x v="0"/>
    <n v="3.7"/>
    <s v="Armonk, NY"/>
    <x v="40"/>
    <x v="1"/>
    <x v="16"/>
    <n v="86"/>
    <n v="144"/>
    <n v="115"/>
    <x v="2"/>
    <n v="158"/>
  </r>
  <r>
    <s v="Data Scientist"/>
    <x v="0"/>
    <x v="0"/>
    <n v="3.7"/>
    <s v="San Diego, CA"/>
    <x v="41"/>
    <x v="1"/>
    <x v="0"/>
    <n v="80"/>
    <n v="139"/>
    <n v="109.5"/>
    <x v="2"/>
    <n v="82"/>
  </r>
  <r>
    <s v="Data Scientist"/>
    <x v="0"/>
    <x v="0"/>
    <n v="3.5"/>
    <s v="Albuquerque, NM"/>
    <x v="0"/>
    <x v="5"/>
    <x v="12"/>
    <n v="56"/>
    <n v="95"/>
    <n v="75.5"/>
    <x v="1"/>
    <n v="151"/>
  </r>
  <r>
    <s v="Data Scientist"/>
    <x v="0"/>
    <x v="0"/>
    <n v="4.0999999999999996"/>
    <s v="San Francisco, CA"/>
    <x v="15"/>
    <x v="0"/>
    <x v="14"/>
    <n v="120"/>
    <n v="189"/>
    <n v="154.5"/>
    <x v="4"/>
    <n v="9"/>
  </r>
  <r>
    <s v="Data Scientist"/>
    <x v="0"/>
    <x v="0"/>
    <n v="4.7"/>
    <s v="Saint Louis, MO"/>
    <x v="42"/>
    <x v="3"/>
    <x v="19"/>
    <n v="111"/>
    <n v="176"/>
    <n v="143.5"/>
    <x v="3"/>
    <n v="5"/>
  </r>
  <r>
    <s v="Data Scientist"/>
    <x v="0"/>
    <x v="0"/>
    <n v="4.0999999999999996"/>
    <s v="Baltimore, MD"/>
    <x v="6"/>
    <x v="0"/>
    <x v="6"/>
    <n v="54"/>
    <n v="93"/>
    <n v="73.5"/>
    <x v="0"/>
    <n v="13"/>
  </r>
  <r>
    <s v="Data Scientist"/>
    <x v="0"/>
    <x v="0"/>
    <n v="3.4"/>
    <s v="Dallas, TX"/>
    <x v="5"/>
    <x v="4"/>
    <x v="5"/>
    <n v="71"/>
    <n v="119"/>
    <n v="95"/>
    <x v="1"/>
    <n v="21"/>
  </r>
  <r>
    <s v="Senior Data Scientist"/>
    <x v="1"/>
    <x v="0"/>
    <n v="4.4000000000000004"/>
    <s v="Cincinnati, OH"/>
    <x v="43"/>
    <x v="4"/>
    <x v="24"/>
    <n v="82"/>
    <n v="132"/>
    <n v="107"/>
    <x v="2"/>
    <n v="136"/>
  </r>
  <r>
    <s v="Data Scientist"/>
    <x v="0"/>
    <x v="0"/>
    <n v="4.3"/>
    <s v="New York, NY"/>
    <x v="4"/>
    <x v="4"/>
    <x v="7"/>
    <n v="84"/>
    <n v="146"/>
    <n v="115"/>
    <x v="2"/>
    <n v="10"/>
  </r>
  <r>
    <s v="Senior Risk Data Scientist"/>
    <x v="1"/>
    <x v="0"/>
    <n v="3.8"/>
    <s v="Palo Alto, CA"/>
    <x v="44"/>
    <x v="0"/>
    <x v="25"/>
    <n v="107"/>
    <n v="172"/>
    <n v="139.5"/>
    <x v="3"/>
    <n v="15"/>
  </r>
  <r>
    <s v="Data Scientist in Artificial Intelligence Early Career"/>
    <x v="0"/>
    <x v="0"/>
    <n v="3.8"/>
    <s v="Richland, WA"/>
    <x v="3"/>
    <x v="2"/>
    <x v="3"/>
    <n v="49"/>
    <n v="85"/>
    <n v="67"/>
    <x v="0"/>
    <n v="56"/>
  </r>
  <r>
    <s v="Data Scientist"/>
    <x v="0"/>
    <x v="0"/>
    <n v="3.8"/>
    <s v="Coraopolis, PA"/>
    <x v="45"/>
    <x v="1"/>
    <x v="26"/>
    <n v="61"/>
    <n v="109"/>
    <n v="85"/>
    <x v="1"/>
    <n v="73"/>
  </r>
  <r>
    <s v="Data Scientist"/>
    <x v="0"/>
    <x v="0"/>
    <n v="2.8"/>
    <s v="Framingham, MA"/>
    <x v="46"/>
    <x v="3"/>
    <x v="12"/>
    <n v="88"/>
    <n v="148"/>
    <n v="118"/>
    <x v="2"/>
    <n v="15"/>
  </r>
  <r>
    <s v="Data Scientist"/>
    <x v="0"/>
    <x v="0"/>
    <n v="4.7"/>
    <s v="Atlanta, GA"/>
    <x v="47"/>
    <x v="3"/>
    <x v="20"/>
    <n v="60"/>
    <n v="99"/>
    <n v="79.5"/>
    <x v="1"/>
    <n v="18"/>
  </r>
  <r>
    <s v="Data Scientist - Research"/>
    <x v="0"/>
    <x v="1"/>
    <n v="3.1"/>
    <s v="Boston, MA"/>
    <x v="38"/>
    <x v="4"/>
    <x v="4"/>
    <n v="41"/>
    <n v="72"/>
    <n v="56.5"/>
    <x v="0"/>
    <n v="22"/>
  </r>
  <r>
    <s v="Data Scientist"/>
    <x v="0"/>
    <x v="0"/>
    <n v="3.2"/>
    <s v="Philadelphia, PA"/>
    <x v="48"/>
    <x v="6"/>
    <x v="27"/>
    <n v="96"/>
    <n v="161"/>
    <n v="128.5"/>
    <x v="3"/>
    <n v="-1"/>
  </r>
  <r>
    <s v="R&amp;D Data Analysis Scientist"/>
    <x v="0"/>
    <x v="0"/>
    <n v="4"/>
    <s v="Vancouver, WA"/>
    <x v="49"/>
    <x v="1"/>
    <x v="20"/>
    <n v="65"/>
    <n v="130"/>
    <n v="97.5"/>
    <x v="1"/>
    <n v="82"/>
  </r>
  <r>
    <s v="Analytics Consultant"/>
    <x v="0"/>
    <x v="0"/>
    <n v="4.4000000000000004"/>
    <s v="Indianapolis, IN"/>
    <x v="50"/>
    <x v="6"/>
    <x v="14"/>
    <n v="52"/>
    <n v="81"/>
    <n v="66.5"/>
    <x v="0"/>
    <n v="6"/>
  </r>
  <r>
    <s v="Director, Data Science"/>
    <x v="3"/>
    <x v="5"/>
    <n v="3.6"/>
    <s v="Lake Forest, IL"/>
    <x v="51"/>
    <x v="1"/>
    <x v="28"/>
    <n v="139"/>
    <n v="220"/>
    <n v="179.5"/>
    <x v="4"/>
    <n v="94"/>
  </r>
  <r>
    <s v="Scientist"/>
    <x v="0"/>
    <x v="0"/>
    <n v="2.7"/>
    <s v="Maryland Heights, MO"/>
    <x v="52"/>
    <x v="0"/>
    <x v="10"/>
    <n v="50"/>
    <n v="102"/>
    <n v="76"/>
    <x v="1"/>
    <n v="43"/>
  </r>
  <r>
    <s v="Data Scientist SR"/>
    <x v="1"/>
    <x v="0"/>
    <n v="3.9"/>
    <s v="Charlottesville, VA"/>
    <x v="53"/>
    <x v="0"/>
    <x v="19"/>
    <n v="85"/>
    <n v="139"/>
    <n v="112"/>
    <x v="2"/>
    <n v="11"/>
  </r>
  <r>
    <s v="Data Scientist"/>
    <x v="0"/>
    <x v="0"/>
    <n v="3.1"/>
    <s v="Pittsburgh, PA"/>
    <x v="54"/>
    <x v="2"/>
    <x v="29"/>
    <n v="74"/>
    <n v="122"/>
    <n v="98"/>
    <x v="1"/>
    <n v="161"/>
  </r>
  <r>
    <s v="R&amp;D Sr Data Scientist"/>
    <x v="1"/>
    <x v="0"/>
    <n v="4"/>
    <s v="Vancouver, WA"/>
    <x v="49"/>
    <x v="1"/>
    <x v="20"/>
    <n v="99"/>
    <n v="157"/>
    <n v="128"/>
    <x v="3"/>
    <n v="82"/>
  </r>
  <r>
    <s v="Customer Data Scientist/Sales Engineer (Bay"/>
    <x v="0"/>
    <x v="0"/>
    <n v="4.3"/>
    <s v="Mountain View, CA"/>
    <x v="14"/>
    <x v="4"/>
    <x v="14"/>
    <n v="79"/>
    <n v="222"/>
    <n v="150.5"/>
    <x v="4"/>
    <n v="10"/>
  </r>
  <r>
    <s v="Research Scientist"/>
    <x v="0"/>
    <x v="1"/>
    <n v="1.9"/>
    <s v="Cambridge, MA"/>
    <x v="12"/>
    <x v="3"/>
    <x v="12"/>
    <n v="57"/>
    <n v="118"/>
    <n v="87.5"/>
    <x v="1"/>
    <n v="21"/>
  </r>
  <r>
    <s v="Data Scientist"/>
    <x v="0"/>
    <x v="0"/>
    <n v="3.3"/>
    <s v="Chantilly, VA"/>
    <x v="9"/>
    <x v="2"/>
    <x v="0"/>
    <n v="83"/>
    <n v="137"/>
    <n v="110"/>
    <x v="2"/>
    <n v="4"/>
  </r>
  <r>
    <s v="Data Scientist"/>
    <x v="0"/>
    <x v="0"/>
    <n v="4.4000000000000004"/>
    <s v="San Jose, CA"/>
    <x v="7"/>
    <x v="1"/>
    <x v="19"/>
    <n v="86"/>
    <n v="141"/>
    <n v="113.5"/>
    <x v="2"/>
    <n v="26"/>
  </r>
  <r>
    <s v="Data Scientist"/>
    <x v="0"/>
    <x v="0"/>
    <n v="3.9"/>
    <s v="San Francisco, CA"/>
    <x v="15"/>
    <x v="3"/>
    <x v="1"/>
    <n v="94"/>
    <n v="154"/>
    <n v="124"/>
    <x v="2"/>
    <n v="5"/>
  </r>
  <r>
    <s v="Jr. Business Data Analyst"/>
    <x v="2"/>
    <x v="2"/>
    <n v="4.7"/>
    <s v="Harrisburg, PA"/>
    <x v="55"/>
    <x v="4"/>
    <x v="4"/>
    <n v="37"/>
    <n v="76"/>
    <n v="56.5"/>
    <x v="0"/>
    <n v="24"/>
  </r>
  <r>
    <s v="Data Scientist"/>
    <x v="0"/>
    <x v="0"/>
    <n v="4.5"/>
    <s v="Laurel, MD"/>
    <x v="56"/>
    <x v="5"/>
    <x v="0"/>
    <n v="100"/>
    <n v="160"/>
    <n v="130"/>
    <x v="3"/>
    <n v="79"/>
  </r>
  <r>
    <s v="Data Analyst"/>
    <x v="0"/>
    <x v="2"/>
    <n v="4.3"/>
    <s v="Chicago, IL"/>
    <x v="17"/>
    <x v="3"/>
    <x v="20"/>
    <n v="55"/>
    <n v="100"/>
    <n v="77.5"/>
    <x v="1"/>
    <n v="13"/>
  </r>
  <r>
    <s v="Data Engineer"/>
    <x v="0"/>
    <x v="3"/>
    <n v="4"/>
    <s v="Arlington, VA"/>
    <x v="57"/>
    <x v="4"/>
    <x v="7"/>
    <n v="60"/>
    <n v="114"/>
    <n v="87"/>
    <x v="1"/>
    <n v="19"/>
  </r>
  <r>
    <s v="Data Analyst"/>
    <x v="0"/>
    <x v="2"/>
    <n v="4.4000000000000004"/>
    <s v="Tacoma, WA"/>
    <x v="58"/>
    <x v="0"/>
    <x v="28"/>
    <n v="39"/>
    <n v="68"/>
    <n v="53.5"/>
    <x v="0"/>
    <n v="73"/>
  </r>
  <r>
    <s v="Staff Data Scientist - Technology"/>
    <x v="0"/>
    <x v="0"/>
    <n v="3.2"/>
    <s v="Plano, TX"/>
    <x v="10"/>
    <x v="1"/>
    <x v="11"/>
    <n v="106"/>
    <n v="172"/>
    <n v="139"/>
    <x v="3"/>
    <n v="59"/>
  </r>
  <r>
    <s v="Data Scientist"/>
    <x v="0"/>
    <x v="0"/>
    <n v="3.8"/>
    <s v="San Jose, CA"/>
    <x v="7"/>
    <x v="4"/>
    <x v="7"/>
    <n v="86"/>
    <n v="142"/>
    <n v="114"/>
    <x v="2"/>
    <n v="16"/>
  </r>
  <r>
    <s v="Data Scientist"/>
    <x v="0"/>
    <x v="0"/>
    <n v="4.2"/>
    <s v="Miami, FL"/>
    <x v="59"/>
    <x v="0"/>
    <x v="14"/>
    <n v="64"/>
    <n v="107"/>
    <n v="85.5"/>
    <x v="1"/>
    <n v="13"/>
  </r>
  <r>
    <s v="Data Management Specialist"/>
    <x v="0"/>
    <x v="0"/>
    <n v="4.5"/>
    <s v="Huntsville, AL"/>
    <x v="39"/>
    <x v="3"/>
    <x v="19"/>
    <n v="31"/>
    <n v="65"/>
    <n v="48"/>
    <x v="5"/>
    <n v="25"/>
  </r>
  <r>
    <s v="E-Commerce Data Analyst"/>
    <x v="0"/>
    <x v="2"/>
    <n v="3.5"/>
    <s v="New Orleans, LA"/>
    <x v="60"/>
    <x v="3"/>
    <x v="14"/>
    <n v="34"/>
    <n v="62"/>
    <n v="48"/>
    <x v="5"/>
    <n v="22"/>
  </r>
  <r>
    <s v="Sr. Scientist II"/>
    <x v="1"/>
    <x v="0"/>
    <n v="3.5"/>
    <s v="San Francisco, CA"/>
    <x v="15"/>
    <x v="4"/>
    <x v="12"/>
    <n v="117"/>
    <n v="231"/>
    <n v="174"/>
    <x v="4"/>
    <n v="31"/>
  </r>
  <r>
    <s v="Insurance Data Scientist"/>
    <x v="0"/>
    <x v="0"/>
    <n v="3.9"/>
    <s v="Atlanta, GA"/>
    <x v="47"/>
    <x v="5"/>
    <x v="30"/>
    <n v="64"/>
    <n v="106"/>
    <n v="85"/>
    <x v="1"/>
    <n v="53"/>
  </r>
  <r>
    <s v="Data Modeler"/>
    <x v="0"/>
    <x v="0"/>
    <n v="4.7"/>
    <s v="Landover, MD"/>
    <x v="61"/>
    <x v="3"/>
    <x v="19"/>
    <n v="79"/>
    <n v="134"/>
    <n v="106.5"/>
    <x v="2"/>
    <n v="18"/>
  </r>
  <r>
    <s v="Data Analyst / Scientist"/>
    <x v="0"/>
    <x v="2"/>
    <n v="4.2"/>
    <s v="Patuxent River, MD"/>
    <x v="62"/>
    <x v="2"/>
    <x v="19"/>
    <n v="52"/>
    <n v="93"/>
    <n v="72.5"/>
    <x v="0"/>
    <n v="33"/>
  </r>
  <r>
    <s v="Scientist"/>
    <x v="0"/>
    <x v="0"/>
    <n v="3.4"/>
    <s v="Suitland, MD"/>
    <x v="63"/>
    <x v="1"/>
    <x v="19"/>
    <n v="55"/>
    <n v="116"/>
    <n v="85.5"/>
    <x v="1"/>
    <n v="25"/>
  </r>
  <r>
    <s v="Data Scientist"/>
    <x v="0"/>
    <x v="0"/>
    <n v="3.2"/>
    <s v="McLean, VA"/>
    <x v="64"/>
    <x v="5"/>
    <x v="31"/>
    <n v="72"/>
    <n v="123"/>
    <n v="97.5"/>
    <x v="1"/>
    <n v="63"/>
  </r>
  <r>
    <s v="Data Scientist"/>
    <x v="0"/>
    <x v="0"/>
    <n v="3.9"/>
    <s v="Fort Belvoir, VA"/>
    <x v="65"/>
    <x v="0"/>
    <x v="19"/>
    <n v="74"/>
    <n v="124"/>
    <n v="99"/>
    <x v="1"/>
    <n v="11"/>
  </r>
  <r>
    <s v="Data Analyst"/>
    <x v="0"/>
    <x v="2"/>
    <n v="3.1"/>
    <s v="Milwaukee, WI"/>
    <x v="66"/>
    <x v="2"/>
    <x v="15"/>
    <n v="40"/>
    <n v="73"/>
    <n v="56.5"/>
    <x v="0"/>
    <n v="20"/>
  </r>
  <r>
    <s v="Lead Data Scientist"/>
    <x v="1"/>
    <x v="0"/>
    <n v="4.0999999999999996"/>
    <s v="Silver Spring, MD"/>
    <x v="67"/>
    <x v="6"/>
    <x v="19"/>
    <n v="102"/>
    <n v="164"/>
    <n v="133"/>
    <x v="3"/>
    <n v="14"/>
  </r>
  <r>
    <s v="Data Scientist"/>
    <x v="0"/>
    <x v="0"/>
    <n v="3.8"/>
    <s v="New York, NY"/>
    <x v="4"/>
    <x v="3"/>
    <x v="10"/>
    <n v="89"/>
    <n v="153"/>
    <n v="121"/>
    <x v="2"/>
    <n v="9"/>
  </r>
  <r>
    <s v="Data Scientist"/>
    <x v="0"/>
    <x v="0"/>
    <n v="4.7"/>
    <s v="Syracuse, NY"/>
    <x v="68"/>
    <x v="0"/>
    <x v="2"/>
    <n v="61"/>
    <n v="110"/>
    <n v="85.5"/>
    <x v="1"/>
    <n v="29"/>
  </r>
  <r>
    <s v="Data Scientist, Rice University"/>
    <x v="0"/>
    <x v="0"/>
    <n v="4.3"/>
    <s v="Houston, TX"/>
    <x v="69"/>
    <x v="2"/>
    <x v="32"/>
    <n v="65"/>
    <n v="110"/>
    <n v="87.5"/>
    <x v="1"/>
    <n v="6"/>
  </r>
  <r>
    <s v="Senior Data Scientist"/>
    <x v="1"/>
    <x v="0"/>
    <n v="4.2"/>
    <s v="Washington, DC"/>
    <x v="32"/>
    <x v="2"/>
    <x v="7"/>
    <n v="200"/>
    <n v="275"/>
    <n v="237.5"/>
    <x v="4"/>
    <n v="86"/>
  </r>
  <r>
    <s v="Data Engineer"/>
    <x v="0"/>
    <x v="3"/>
    <n v="3.9"/>
    <s v="Charlotte, NC"/>
    <x v="70"/>
    <x v="2"/>
    <x v="19"/>
    <n v="68"/>
    <n v="123"/>
    <n v="95.5"/>
    <x v="1"/>
    <n v="24"/>
  </r>
  <r>
    <s v="Senior Data Scientist"/>
    <x v="1"/>
    <x v="0"/>
    <n v="3.3"/>
    <s v="Southfield, MI"/>
    <x v="71"/>
    <x v="1"/>
    <x v="33"/>
    <n v="80"/>
    <n v="129"/>
    <n v="104.5"/>
    <x v="2"/>
    <n v="27"/>
  </r>
  <r>
    <s v="Financial Data Analyst"/>
    <x v="0"/>
    <x v="2"/>
    <n v="4.7"/>
    <s v="Matawan, NJ"/>
    <x v="72"/>
    <x v="4"/>
    <x v="20"/>
    <n v="41"/>
    <n v="72"/>
    <n v="56.5"/>
    <x v="0"/>
    <n v="9"/>
  </r>
  <r>
    <s v="Senior Data Analyst"/>
    <x v="1"/>
    <x v="2"/>
    <n v="4.3"/>
    <s v="Phoenix, AZ"/>
    <x v="73"/>
    <x v="4"/>
    <x v="14"/>
    <n v="39"/>
    <n v="71"/>
    <n v="55"/>
    <x v="0"/>
    <n v="11"/>
  </r>
  <r>
    <s v="Research Scientist"/>
    <x v="0"/>
    <x v="1"/>
    <n v="2.9"/>
    <s v="Omaha, NE"/>
    <x v="74"/>
    <x v="2"/>
    <x v="1"/>
    <n v="38"/>
    <n v="85"/>
    <n v="61.5"/>
    <x v="0"/>
    <n v="44"/>
  </r>
  <r>
    <s v="Data Scientist"/>
    <x v="0"/>
    <x v="0"/>
    <n v="4.5"/>
    <s v="San Francisco, CA"/>
    <x v="15"/>
    <x v="4"/>
    <x v="20"/>
    <n v="121"/>
    <n v="193"/>
    <n v="157"/>
    <x v="4"/>
    <n v="15"/>
  </r>
  <r>
    <s v="Data Engineer"/>
    <x v="0"/>
    <x v="3"/>
    <n v="3.4"/>
    <s v="Lyndhurst, NJ"/>
    <x v="75"/>
    <x v="4"/>
    <x v="8"/>
    <n v="54"/>
    <n v="102"/>
    <n v="78"/>
    <x v="1"/>
    <n v="2"/>
  </r>
  <r>
    <s v="Data Scientist"/>
    <x v="0"/>
    <x v="0"/>
    <n v="3.7"/>
    <s v="Cambridge, MA"/>
    <x v="12"/>
    <x v="1"/>
    <x v="12"/>
    <n v="83"/>
    <n v="144"/>
    <n v="113.5"/>
    <x v="2"/>
    <n v="240"/>
  </r>
  <r>
    <s v="Data Scientist"/>
    <x v="0"/>
    <x v="0"/>
    <n v="4.5999999999999996"/>
    <s v="New York, NY"/>
    <x v="4"/>
    <x v="3"/>
    <x v="8"/>
    <n v="120"/>
    <n v="160"/>
    <n v="140"/>
    <x v="3"/>
    <n v="12"/>
  </r>
  <r>
    <s v="Data Scientist"/>
    <x v="0"/>
    <x v="0"/>
    <n v="3.2"/>
    <s v="San Francisco, CA"/>
    <x v="15"/>
    <x v="3"/>
    <x v="14"/>
    <n v="102"/>
    <n v="163"/>
    <n v="132.5"/>
    <x v="3"/>
    <n v="6"/>
  </r>
  <r>
    <s v="Data Engineer"/>
    <x v="0"/>
    <x v="3"/>
    <n v="4"/>
    <s v="San Francisco, CA"/>
    <x v="15"/>
    <x v="5"/>
    <x v="20"/>
    <n v="76"/>
    <n v="140"/>
    <n v="108"/>
    <x v="2"/>
    <n v="39"/>
  </r>
  <r>
    <s v="Ag Data Scientist"/>
    <x v="0"/>
    <x v="0"/>
    <n v="4.5999999999999996"/>
    <s v="Atlanta, IN"/>
    <x v="47"/>
    <x v="0"/>
    <x v="34"/>
    <n v="60"/>
    <n v="101"/>
    <n v="80.5"/>
    <x v="1"/>
    <n v="84"/>
  </r>
  <r>
    <s v="Data Scientist"/>
    <x v="0"/>
    <x v="0"/>
    <n v="2.8"/>
    <s v="Rockville, MD"/>
    <x v="76"/>
    <x v="4"/>
    <x v="1"/>
    <n v="82"/>
    <n v="133"/>
    <n v="107.5"/>
    <x v="2"/>
    <n v="21"/>
  </r>
  <r>
    <s v="Data Engineer"/>
    <x v="0"/>
    <x v="3"/>
    <n v="4.7"/>
    <s v="Minneapolis, MN"/>
    <x v="77"/>
    <x v="3"/>
    <x v="7"/>
    <n v="65"/>
    <n v="125"/>
    <n v="95"/>
    <x v="1"/>
    <n v="25"/>
  </r>
  <r>
    <s v="Data Scientist II"/>
    <x v="0"/>
    <x v="0"/>
    <n v="3"/>
    <s v="Los Angeles, CA"/>
    <x v="78"/>
    <x v="2"/>
    <x v="1"/>
    <n v="91"/>
    <n v="148"/>
    <n v="119.5"/>
    <x v="2"/>
    <n v="24"/>
  </r>
  <r>
    <s v="Senior Data Engineer"/>
    <x v="1"/>
    <x v="3"/>
    <n v="3.2"/>
    <s v="Charlotte, NC"/>
    <x v="70"/>
    <x v="2"/>
    <x v="4"/>
    <n v="95"/>
    <n v="173"/>
    <n v="134"/>
    <x v="3"/>
    <n v="21"/>
  </r>
  <r>
    <s v="Data Scientist"/>
    <x v="0"/>
    <x v="0"/>
    <n v="4.4000000000000004"/>
    <s v="Cambridge, MA"/>
    <x v="12"/>
    <x v="4"/>
    <x v="14"/>
    <n v="77"/>
    <n v="124"/>
    <n v="100.5"/>
    <x v="2"/>
    <n v="22"/>
  </r>
  <r>
    <s v="Data Scientist"/>
    <x v="0"/>
    <x v="0"/>
    <n v="3.5"/>
    <s v="Cincinnati, OH"/>
    <x v="43"/>
    <x v="2"/>
    <x v="35"/>
    <n v="80"/>
    <n v="135"/>
    <n v="107.5"/>
    <x v="2"/>
    <n v="143"/>
  </r>
  <r>
    <s v="Data Engineer"/>
    <x v="0"/>
    <x v="3"/>
    <n v="4"/>
    <s v="Washington, DC"/>
    <x v="32"/>
    <x v="3"/>
    <x v="8"/>
    <n v="85"/>
    <n v="159"/>
    <n v="122"/>
    <x v="2"/>
    <n v="6"/>
  </r>
  <r>
    <s v="Data Engineer"/>
    <x v="0"/>
    <x v="3"/>
    <n v="4.3"/>
    <s v="Chicago, IL"/>
    <x v="17"/>
    <x v="2"/>
    <x v="5"/>
    <n v="80"/>
    <n v="105"/>
    <n v="92.5"/>
    <x v="1"/>
    <n v="28"/>
  </r>
  <r>
    <s v="Data Analyst"/>
    <x v="0"/>
    <x v="2"/>
    <n v="2.2999999999999998"/>
    <s v="Baltimore, MD"/>
    <x v="6"/>
    <x v="0"/>
    <x v="10"/>
    <n v="43"/>
    <n v="81"/>
    <n v="62"/>
    <x v="0"/>
    <n v="35"/>
  </r>
  <r>
    <s v="Project Scientist"/>
    <x v="0"/>
    <x v="0"/>
    <n v="4"/>
    <s v="Alabaster, AL"/>
    <x v="79"/>
    <x v="3"/>
    <x v="36"/>
    <n v="29"/>
    <n v="50"/>
    <n v="39.5"/>
    <x v="5"/>
    <n v="21"/>
  </r>
  <r>
    <s v="Data Scientist"/>
    <x v="0"/>
    <x v="0"/>
    <n v="3.6"/>
    <s v="Santa Fe Springs, Los Angeles, CA"/>
    <x v="80"/>
    <x v="2"/>
    <x v="23"/>
    <n v="82"/>
    <n v="133"/>
    <n v="107.5"/>
    <x v="2"/>
    <n v="55"/>
  </r>
  <r>
    <s v="Data Analytics Manager"/>
    <x v="3"/>
    <x v="6"/>
    <n v="3.8"/>
    <s v="Kansas City, MO"/>
    <x v="81"/>
    <x v="0"/>
    <x v="27"/>
    <n v="26"/>
    <n v="55"/>
    <n v="40.5"/>
    <x v="5"/>
    <n v="4"/>
  </r>
  <r>
    <s v="Senior Machine Learning (ML) Engineer / Data Scientist - Cyber Security Analytics"/>
    <x v="1"/>
    <x v="4"/>
    <n v="3.7"/>
    <s v="Ashburn, VA"/>
    <x v="82"/>
    <x v="1"/>
    <x v="19"/>
    <n v="61"/>
    <n v="118"/>
    <n v="89.5"/>
    <x v="1"/>
    <n v="63"/>
  </r>
  <r>
    <s v="Data Scientist"/>
    <x v="0"/>
    <x v="0"/>
    <n v="4.4000000000000004"/>
    <s v="Chicago, IL"/>
    <x v="17"/>
    <x v="4"/>
    <x v="7"/>
    <n v="60"/>
    <n v="102"/>
    <n v="81"/>
    <x v="1"/>
    <n v="13"/>
  </r>
  <r>
    <s v="Senior Data Scientist"/>
    <x v="1"/>
    <x v="0"/>
    <n v="4"/>
    <s v="Herndon, VA"/>
    <x v="19"/>
    <x v="0"/>
    <x v="14"/>
    <n v="112"/>
    <n v="182"/>
    <n v="147"/>
    <x v="3"/>
    <n v="9"/>
  </r>
  <r>
    <s v="Data Scientist"/>
    <x v="0"/>
    <x v="0"/>
    <n v="3.2"/>
    <s v="Fort Worth, TX"/>
    <x v="83"/>
    <x v="2"/>
    <x v="37"/>
    <n v="64"/>
    <n v="106"/>
    <n v="85"/>
    <x v="1"/>
    <n v="63"/>
  </r>
  <r>
    <s v="Associate Scientist"/>
    <x v="2"/>
    <x v="0"/>
    <n v="2.9"/>
    <s v="Valencia, CA"/>
    <x v="84"/>
    <x v="2"/>
    <x v="22"/>
    <n v="51"/>
    <n v="112"/>
    <n v="81.5"/>
    <x v="1"/>
    <n v="50"/>
  </r>
  <r>
    <s v="Scientist 2, QC Viral Vector"/>
    <x v="0"/>
    <x v="0"/>
    <n v="3.8"/>
    <s v="Novato, CA"/>
    <x v="85"/>
    <x v="2"/>
    <x v="12"/>
    <n v="113"/>
    <n v="223"/>
    <n v="168"/>
    <x v="4"/>
    <n v="24"/>
  </r>
  <r>
    <s v="Machine Learning Engineer"/>
    <x v="0"/>
    <x v="4"/>
    <n v="4.3"/>
    <s v="Aurora, CO"/>
    <x v="86"/>
    <x v="6"/>
    <x v="0"/>
    <n v="72"/>
    <n v="129"/>
    <n v="100.5"/>
    <x v="2"/>
    <n v="14"/>
  </r>
  <r>
    <s v="Data Scientist/ML Engineer"/>
    <x v="0"/>
    <x v="0"/>
    <n v="3.4"/>
    <s v="New York, NY"/>
    <x v="4"/>
    <x v="2"/>
    <x v="7"/>
    <n v="71"/>
    <n v="123"/>
    <n v="97"/>
    <x v="1"/>
    <n v="78"/>
  </r>
  <r>
    <s v="Data Scientist"/>
    <x v="0"/>
    <x v="0"/>
    <n v="4.0999999999999996"/>
    <s v="Chantilly, VA"/>
    <x v="9"/>
    <x v="5"/>
    <x v="10"/>
    <n v="64"/>
    <n v="106"/>
    <n v="85"/>
    <x v="1"/>
    <n v="53"/>
  </r>
  <r>
    <s v="Customer Data Scientist"/>
    <x v="0"/>
    <x v="0"/>
    <n v="4.3"/>
    <s v="Mountain View, CA"/>
    <x v="14"/>
    <x v="4"/>
    <x v="14"/>
    <n v="118"/>
    <n v="189"/>
    <n v="153.5"/>
    <x v="4"/>
    <n v="10"/>
  </r>
  <r>
    <s v="Data Engineer"/>
    <x v="0"/>
    <x v="3"/>
    <n v="5"/>
    <s v="Tampa, FL"/>
    <x v="87"/>
    <x v="3"/>
    <x v="19"/>
    <n v="120"/>
    <n v="145"/>
    <n v="132.5"/>
    <x v="3"/>
    <n v="4"/>
  </r>
  <r>
    <s v="Data Engineer"/>
    <x v="0"/>
    <x v="3"/>
    <n v="4.3"/>
    <s v="Chicago, IL"/>
    <x v="17"/>
    <x v="3"/>
    <x v="20"/>
    <n v="80"/>
    <n v="120"/>
    <n v="100"/>
    <x v="2"/>
    <n v="13"/>
  </r>
  <r>
    <s v="Sr. Data Scientist"/>
    <x v="1"/>
    <x v="0"/>
    <n v="3.7"/>
    <s v="Denver, CO"/>
    <x v="16"/>
    <x v="4"/>
    <x v="38"/>
    <n v="80"/>
    <n v="130"/>
    <n v="105"/>
    <x v="2"/>
    <n v="10"/>
  </r>
  <r>
    <s v="Data Engineer 4 - Contract"/>
    <x v="0"/>
    <x v="3"/>
    <n v="4.2"/>
    <s v="Riverton, UT"/>
    <x v="88"/>
    <x v="1"/>
    <x v="39"/>
    <n v="59"/>
    <n v="115"/>
    <n v="87"/>
    <x v="1"/>
    <n v="-1"/>
  </r>
  <r>
    <s v="Data Analyst - Asset Management"/>
    <x v="0"/>
    <x v="2"/>
    <n v="4.3"/>
    <s v="San Francisco, CA"/>
    <x v="15"/>
    <x v="3"/>
    <x v="5"/>
    <n v="71"/>
    <n v="136"/>
    <n v="103.5"/>
    <x v="2"/>
    <n v="8"/>
  </r>
  <r>
    <s v="Senior Research Scientist - Embedded System Development for DevOps"/>
    <x v="1"/>
    <x v="1"/>
    <n v="2.6"/>
    <s v="Pittsburgh, PA"/>
    <x v="54"/>
    <x v="0"/>
    <x v="40"/>
    <n v="81"/>
    <n v="167"/>
    <n v="124"/>
    <x v="2"/>
    <n v="37"/>
  </r>
  <r>
    <s v="Data Scientist - Bioinformatics"/>
    <x v="0"/>
    <x v="0"/>
    <n v="3.8"/>
    <s v="Richland, WA"/>
    <x v="3"/>
    <x v="2"/>
    <x v="3"/>
    <n v="49"/>
    <n v="85"/>
    <n v="67"/>
    <x v="0"/>
    <n v="56"/>
  </r>
  <r>
    <s v="Data Engineer"/>
    <x v="0"/>
    <x v="3"/>
    <n v="3.9"/>
    <s v="Washington, DC"/>
    <x v="32"/>
    <x v="1"/>
    <x v="19"/>
    <n v="60"/>
    <n v="114"/>
    <n v="87"/>
    <x v="1"/>
    <n v="21"/>
  </r>
  <r>
    <s v="Customer Data Scientist/Sales Engineer"/>
    <x v="0"/>
    <x v="0"/>
    <n v="4.3"/>
    <s v="Chicago, IL"/>
    <x v="17"/>
    <x v="4"/>
    <x v="14"/>
    <n v="71"/>
    <n v="204"/>
    <n v="137.5"/>
    <x v="3"/>
    <n v="10"/>
  </r>
  <r>
    <s v="Lead Data Scientist"/>
    <x v="1"/>
    <x v="0"/>
    <n v="3.8"/>
    <s v="Cincinnati, OH"/>
    <x v="43"/>
    <x v="4"/>
    <x v="4"/>
    <n v="75"/>
    <n v="125"/>
    <n v="100"/>
    <x v="2"/>
    <n v="34"/>
  </r>
  <r>
    <s v="MongoDB Data Engineer II"/>
    <x v="0"/>
    <x v="3"/>
    <n v="3.8"/>
    <s v="Chattanooga, TN"/>
    <x v="89"/>
    <x v="5"/>
    <x v="15"/>
    <n v="77"/>
    <n v="136"/>
    <n v="106.5"/>
    <x v="2"/>
    <n v="76"/>
  </r>
  <r>
    <s v="Senior Data Scientist Statistics"/>
    <x v="1"/>
    <x v="0"/>
    <n v="3.8"/>
    <s v="Richland, WA"/>
    <x v="3"/>
    <x v="2"/>
    <x v="3"/>
    <n v="74"/>
    <n v="123"/>
    <n v="98.5"/>
    <x v="1"/>
    <n v="56"/>
  </r>
  <r>
    <s v="Senior Data Analyst"/>
    <x v="1"/>
    <x v="2"/>
    <n v="4.8"/>
    <s v="Clearwater, FL"/>
    <x v="2"/>
    <x v="0"/>
    <x v="2"/>
    <n v="44"/>
    <n v="78"/>
    <n v="61"/>
    <x v="0"/>
    <n v="11"/>
  </r>
  <r>
    <s v="Senior Spark Engineer (Data Science)"/>
    <x v="1"/>
    <x v="0"/>
    <n v="4.4000000000000004"/>
    <s v="Indianapolis, IN"/>
    <x v="50"/>
    <x v="3"/>
    <x v="7"/>
    <n v="65"/>
    <n v="148"/>
    <n v="106.5"/>
    <x v="2"/>
    <n v="13"/>
  </r>
  <r>
    <s v="Data Engineer"/>
    <x v="0"/>
    <x v="3"/>
    <n v="3.9"/>
    <s v="Cambridge, MA"/>
    <x v="12"/>
    <x v="3"/>
    <x v="8"/>
    <n v="59"/>
    <n v="110"/>
    <n v="84.5"/>
    <x v="1"/>
    <n v="16"/>
  </r>
  <r>
    <s v="BI &amp; Platform Analytics Manager"/>
    <x v="3"/>
    <x v="6"/>
    <n v="3.4"/>
    <s v="Ewing, NJ"/>
    <x v="90"/>
    <x v="2"/>
    <x v="22"/>
    <n v="85"/>
    <n v="134"/>
    <n v="109.5"/>
    <x v="2"/>
    <n v="175"/>
  </r>
  <r>
    <s v="Lead Data Scientist"/>
    <x v="1"/>
    <x v="0"/>
    <n v="3.6"/>
    <s v="Boston, MA"/>
    <x v="38"/>
    <x v="5"/>
    <x v="15"/>
    <n v="124"/>
    <n v="204"/>
    <n v="164"/>
    <x v="4"/>
    <n v="170"/>
  </r>
  <r>
    <s v="Sr. Data Scientist - Analytics, Personalized Healthcare (PHC)"/>
    <x v="1"/>
    <x v="0"/>
    <n v="3.9"/>
    <s v="South San Francisco, CA"/>
    <x v="91"/>
    <x v="1"/>
    <x v="12"/>
    <n v="131"/>
    <n v="207"/>
    <n v="169"/>
    <x v="4"/>
    <n v="45"/>
  </r>
  <r>
    <s v="Senior Data Scientist"/>
    <x v="1"/>
    <x v="0"/>
    <n v="3.8"/>
    <s v="Cupertino, CA"/>
    <x v="92"/>
    <x v="5"/>
    <x v="18"/>
    <n v="110"/>
    <n v="174"/>
    <n v="142"/>
    <x v="3"/>
    <n v="25"/>
  </r>
  <r>
    <s v="Pricipal Scientist Molecular and cellular biologist"/>
    <x v="0"/>
    <x v="0"/>
    <n v="3.7"/>
    <s v="Boston, MA"/>
    <x v="38"/>
    <x v="1"/>
    <x v="12"/>
    <n v="52"/>
    <n v="101"/>
    <n v="76.5"/>
    <x v="1"/>
    <n v="240"/>
  </r>
  <r>
    <s v="Data Scientist (Actuary, FSA or ASA)"/>
    <x v="0"/>
    <x v="0"/>
    <n v="3.8"/>
    <s v="Frederick, MD"/>
    <x v="93"/>
    <x v="0"/>
    <x v="15"/>
    <n v="81"/>
    <n v="133"/>
    <n v="107"/>
    <x v="2"/>
    <n v="40"/>
  </r>
  <r>
    <s v="Staff Data Scientist"/>
    <x v="0"/>
    <x v="0"/>
    <n v="3.5"/>
    <s v="San Jose, CA"/>
    <x v="7"/>
    <x v="1"/>
    <x v="20"/>
    <n v="132"/>
    <n v="211"/>
    <n v="171.5"/>
    <x v="4"/>
    <n v="51"/>
  </r>
  <r>
    <s v="Senior Data Scientist / Machine Learning"/>
    <x v="1"/>
    <x v="4"/>
    <n v="3.9"/>
    <s v="Dallas, TX"/>
    <x v="5"/>
    <x v="4"/>
    <x v="16"/>
    <n v="73"/>
    <n v="119"/>
    <n v="96"/>
    <x v="1"/>
    <n v="8"/>
  </r>
  <r>
    <s v="Data Scientist - Health Data Analytics"/>
    <x v="0"/>
    <x v="0"/>
    <n v="4.2"/>
    <s v="San Francisco, CA"/>
    <x v="15"/>
    <x v="3"/>
    <x v="14"/>
    <n v="110"/>
    <n v="175"/>
    <n v="142.5"/>
    <x v="3"/>
    <n v="11"/>
  </r>
  <r>
    <s v="Data Engineer 5 - Contract (Remote)"/>
    <x v="0"/>
    <x v="3"/>
    <n v="4.2"/>
    <s v="Riverton, UT"/>
    <x v="88"/>
    <x v="1"/>
    <x v="39"/>
    <n v="74"/>
    <n v="140"/>
    <n v="107"/>
    <x v="2"/>
    <n v="-1"/>
  </r>
  <r>
    <s v="Senior Scientist - Neuroscience"/>
    <x v="1"/>
    <x v="0"/>
    <n v="3.5"/>
    <s v="Marlborough, MA"/>
    <x v="30"/>
    <x v="2"/>
    <x v="12"/>
    <n v="100"/>
    <n v="190"/>
    <n v="145"/>
    <x v="3"/>
    <n v="11"/>
  </r>
  <r>
    <s v="Senior Data Analyst"/>
    <x v="1"/>
    <x v="2"/>
    <n v="2.9"/>
    <s v="Herndon, VA"/>
    <x v="19"/>
    <x v="4"/>
    <x v="40"/>
    <n v="43"/>
    <n v="80"/>
    <n v="61.5"/>
    <x v="0"/>
    <n v="28"/>
  </r>
  <r>
    <s v="Medical Lab Scientist"/>
    <x v="0"/>
    <x v="0"/>
    <n v="3.6"/>
    <s v="West Reading, PA"/>
    <x v="94"/>
    <x v="5"/>
    <x v="1"/>
    <n v="35"/>
    <n v="49"/>
    <n v="42"/>
    <x v="5"/>
    <n v="4"/>
  </r>
  <r>
    <s v="Risk and Analytics IT, Data Scientist"/>
    <x v="0"/>
    <x v="0"/>
    <n v="2.7"/>
    <s v="Madison, WI"/>
    <x v="95"/>
    <x v="3"/>
    <x v="41"/>
    <n v="91"/>
    <n v="149"/>
    <n v="120"/>
    <x v="2"/>
    <n v="70"/>
  </r>
  <r>
    <s v="Scientist, Analytical Development"/>
    <x v="0"/>
    <x v="0"/>
    <n v="4.4000000000000004"/>
    <s v="Cambridge, MA"/>
    <x v="12"/>
    <x v="4"/>
    <x v="12"/>
    <n v="42"/>
    <n v="82"/>
    <n v="62"/>
    <x v="0"/>
    <n v="8"/>
  </r>
  <r>
    <s v="Senior Data Scientist"/>
    <x v="1"/>
    <x v="0"/>
    <n v="4"/>
    <s v="San Francisco, CA"/>
    <x v="15"/>
    <x v="5"/>
    <x v="20"/>
    <n v="116"/>
    <n v="185"/>
    <n v="150.5"/>
    <x v="4"/>
    <n v="39"/>
  </r>
  <r>
    <s v="Analytics Manager"/>
    <x v="3"/>
    <x v="6"/>
    <n v="4.3"/>
    <s v="Dearborn, MI"/>
    <x v="96"/>
    <x v="4"/>
    <x v="4"/>
    <n v="59"/>
    <n v="116"/>
    <n v="87.5"/>
    <x v="1"/>
    <n v="54"/>
  </r>
  <r>
    <s v="Data Engineer"/>
    <x v="0"/>
    <x v="3"/>
    <n v="4.2"/>
    <s v="Winter Park, FL"/>
    <x v="97"/>
    <x v="3"/>
    <x v="4"/>
    <n v="48"/>
    <n v="95"/>
    <n v="71.5"/>
    <x v="0"/>
    <n v="15"/>
  </r>
  <r>
    <s v="Digital Marketing &amp; ECommerce Data Analyst"/>
    <x v="0"/>
    <x v="2"/>
    <n v="3.6"/>
    <s v="San Rafael, CA"/>
    <x v="98"/>
    <x v="3"/>
    <x v="11"/>
    <n v="31"/>
    <n v="72"/>
    <n v="51.5"/>
    <x v="0"/>
    <n v="15"/>
  </r>
  <r>
    <s v="Sr. Scientist - Digital &amp; Image Analysis/Computational Pathology"/>
    <x v="1"/>
    <x v="0"/>
    <n v="3.7"/>
    <s v="San Diego, CA"/>
    <x v="41"/>
    <x v="1"/>
    <x v="12"/>
    <n v="105"/>
    <n v="198"/>
    <n v="151.5"/>
    <x v="4"/>
    <n v="240"/>
  </r>
  <r>
    <s v="Senior Data Analyst"/>
    <x v="1"/>
    <x v="2"/>
    <n v="2.8"/>
    <s v="Hamilton, NJ"/>
    <x v="99"/>
    <x v="4"/>
    <x v="19"/>
    <n v="55"/>
    <n v="100"/>
    <n v="77.5"/>
    <x v="1"/>
    <n v="7"/>
  </r>
  <r>
    <s v="Principal Scientist - Immunologist"/>
    <x v="1"/>
    <x v="0"/>
    <n v="3.7"/>
    <s v="Boston, MA"/>
    <x v="38"/>
    <x v="1"/>
    <x v="12"/>
    <n v="98"/>
    <n v="182"/>
    <n v="140"/>
    <x v="3"/>
    <n v="240"/>
  </r>
  <r>
    <s v="Senior Data Scientist"/>
    <x v="1"/>
    <x v="0"/>
    <n v="3.3"/>
    <s v="Woodbridge, NJ"/>
    <x v="100"/>
    <x v="2"/>
    <x v="15"/>
    <n v="73"/>
    <n v="124"/>
    <n v="98.5"/>
    <x v="1"/>
    <n v="39"/>
  </r>
  <r>
    <s v="Principal Data Scientist with over 10 years experience"/>
    <x v="1"/>
    <x v="0"/>
    <n v="-1"/>
    <s v="San Francisco, CA"/>
    <x v="15"/>
    <x v="3"/>
    <x v="19"/>
    <n v="200"/>
    <n v="250"/>
    <n v="225"/>
    <x v="4"/>
    <n v="4"/>
  </r>
  <r>
    <s v="MED TECH/LAB SCIENTIST - LABORATORY"/>
    <x v="0"/>
    <x v="0"/>
    <n v="3.6"/>
    <s v="Lewes, DE"/>
    <x v="101"/>
    <x v="2"/>
    <x v="1"/>
    <n v="43"/>
    <n v="70"/>
    <n v="56.5"/>
    <x v="0"/>
    <n v="86"/>
  </r>
  <r>
    <s v="Sr. Scientist, Quantitative Translational Sciences"/>
    <x v="1"/>
    <x v="0"/>
    <n v="3.7"/>
    <s v="Boston, MA"/>
    <x v="38"/>
    <x v="1"/>
    <x v="12"/>
    <n v="117"/>
    <n v="206"/>
    <n v="161.5"/>
    <x v="4"/>
    <n v="240"/>
  </r>
  <r>
    <s v="Sr. Data Scientist II"/>
    <x v="1"/>
    <x v="0"/>
    <n v="3.4"/>
    <s v="New York, NY"/>
    <x v="4"/>
    <x v="2"/>
    <x v="15"/>
    <n v="111"/>
    <n v="183"/>
    <n v="147"/>
    <x v="3"/>
    <n v="73"/>
  </r>
  <r>
    <s v="Excel / VBA / SQL Data Analyst"/>
    <x v="0"/>
    <x v="2"/>
    <n v="4.0999999999999996"/>
    <s v="Springfield, MO"/>
    <x v="102"/>
    <x v="0"/>
    <x v="3"/>
    <n v="44"/>
    <n v="78"/>
    <n v="61"/>
    <x v="0"/>
    <n v="60"/>
  </r>
  <r>
    <s v="Machine Learning Research Scientist"/>
    <x v="0"/>
    <x v="4"/>
    <n v="2.6"/>
    <s v="Pittsburgh, PA"/>
    <x v="54"/>
    <x v="0"/>
    <x v="40"/>
    <n v="81"/>
    <n v="159"/>
    <n v="120"/>
    <x v="2"/>
    <n v="37"/>
  </r>
  <r>
    <s v="VP, Data Science"/>
    <x v="3"/>
    <x v="0"/>
    <n v="3.2"/>
    <s v="Phoenix, AZ"/>
    <x v="73"/>
    <x v="2"/>
    <x v="42"/>
    <n v="83"/>
    <n v="166"/>
    <n v="124.5"/>
    <x v="2"/>
    <n v="13"/>
  </r>
  <r>
    <s v="Senior Data Scientist"/>
    <x v="1"/>
    <x v="0"/>
    <n v="3.9"/>
    <s v="Burbank, CA"/>
    <x v="103"/>
    <x v="3"/>
    <x v="30"/>
    <n v="114"/>
    <n v="182"/>
    <n v="148"/>
    <x v="3"/>
    <n v="12"/>
  </r>
  <r>
    <s v="Radar Data Analyst"/>
    <x v="0"/>
    <x v="2"/>
    <n v="4.7"/>
    <s v="Huntsville, AL"/>
    <x v="39"/>
    <x v="3"/>
    <x v="0"/>
    <n v="42"/>
    <n v="76"/>
    <n v="59"/>
    <x v="0"/>
    <n v="25"/>
  </r>
  <r>
    <s v="PL Actuarial-Lead Data Scientist"/>
    <x v="1"/>
    <x v="0"/>
    <n v="3.7"/>
    <s v="Worcester, MA"/>
    <x v="21"/>
    <x v="5"/>
    <x v="15"/>
    <n v="114"/>
    <n v="179"/>
    <n v="146.5"/>
    <x v="3"/>
    <n v="169"/>
  </r>
  <r>
    <s v="PV Scientist"/>
    <x v="0"/>
    <x v="0"/>
    <n v="2.9"/>
    <s v="Newton, MA"/>
    <x v="104"/>
    <x v="4"/>
    <x v="12"/>
    <n v="60"/>
    <n v="123"/>
    <n v="91.5"/>
    <x v="1"/>
    <n v="-1"/>
  </r>
  <r>
    <s v="Senior Data &amp; Machine Learning Scientist"/>
    <x v="1"/>
    <x v="4"/>
    <n v="3"/>
    <s v="Chicago, IL"/>
    <x v="17"/>
    <x v="0"/>
    <x v="12"/>
    <n v="100"/>
    <n v="166"/>
    <n v="133"/>
    <x v="3"/>
    <n v="6"/>
  </r>
  <r>
    <s v="Principal Data Scientist (Computational Chemistry)"/>
    <x v="1"/>
    <x v="0"/>
    <n v="4.7"/>
    <s v="Salt Lake City, UT"/>
    <x v="105"/>
    <x v="3"/>
    <x v="12"/>
    <n v="108"/>
    <n v="173"/>
    <n v="140.5"/>
    <x v="3"/>
    <n v="8"/>
  </r>
  <r>
    <s v="Data Engineer"/>
    <x v="0"/>
    <x v="3"/>
    <n v="3.7"/>
    <s v="Lafayette, LA"/>
    <x v="106"/>
    <x v="0"/>
    <x v="20"/>
    <n v="48"/>
    <n v="93"/>
    <n v="70.5"/>
    <x v="0"/>
    <n v="-1"/>
  </r>
  <r>
    <s v="Principal Scientist, Chemistry &amp; Immunology"/>
    <x v="1"/>
    <x v="0"/>
    <n v="3.3"/>
    <s v="Rochester, NY"/>
    <x v="8"/>
    <x v="1"/>
    <x v="1"/>
    <n v="54"/>
    <n v="115"/>
    <n v="84.5"/>
    <x v="1"/>
    <n v="7"/>
  </r>
  <r>
    <s v="Software Engineer - Data Visualization"/>
    <x v="0"/>
    <x v="0"/>
    <n v="4"/>
    <s v="Annapolis Junction, MD"/>
    <x v="107"/>
    <x v="3"/>
    <x v="20"/>
    <n v="60"/>
    <n v="127"/>
    <n v="93.5"/>
    <x v="1"/>
    <n v="19"/>
  </r>
  <r>
    <s v="Scientist/Senior Scientist, Autoimmune"/>
    <x v="1"/>
    <x v="0"/>
    <n v="4.4000000000000004"/>
    <s v="Cambridge, MA"/>
    <x v="12"/>
    <x v="4"/>
    <x v="12"/>
    <n v="90"/>
    <n v="179"/>
    <n v="134.5"/>
    <x v="3"/>
    <n v="8"/>
  </r>
  <r>
    <s v="Staff Machine Learning Engineer"/>
    <x v="0"/>
    <x v="4"/>
    <n v="3.9"/>
    <s v="San Francisco, CA"/>
    <x v="15"/>
    <x v="4"/>
    <x v="8"/>
    <n v="138"/>
    <n v="224"/>
    <n v="181"/>
    <x v="4"/>
    <n v="14"/>
  </r>
  <r>
    <s v="Principal Scientist, Hematology"/>
    <x v="1"/>
    <x v="0"/>
    <n v="3.3"/>
    <s v="Rochester, NY"/>
    <x v="8"/>
    <x v="1"/>
    <x v="1"/>
    <n v="54"/>
    <n v="115"/>
    <n v="84.5"/>
    <x v="1"/>
    <n v="7"/>
  </r>
  <r>
    <s v="Lead Data Engineer"/>
    <x v="1"/>
    <x v="3"/>
    <n v="4.0999999999999996"/>
    <s v="Mountain View, CA"/>
    <x v="14"/>
    <x v="3"/>
    <x v="8"/>
    <n v="190"/>
    <n v="220"/>
    <n v="205"/>
    <x v="4"/>
    <n v="11"/>
  </r>
  <r>
    <s v="Marketing Data Analyst"/>
    <x v="0"/>
    <x v="2"/>
    <n v="3.6"/>
    <s v="Highland, CA"/>
    <x v="108"/>
    <x v="2"/>
    <x v="43"/>
    <n v="35"/>
    <n v="62"/>
    <n v="48.5"/>
    <x v="5"/>
    <n v="35"/>
  </r>
  <r>
    <s v="Medical Laboratory Scientist"/>
    <x v="0"/>
    <x v="0"/>
    <n v="4"/>
    <s v="Burleson, TX"/>
    <x v="109"/>
    <x v="2"/>
    <x v="1"/>
    <n v="37"/>
    <n v="52"/>
    <n v="44.5"/>
    <x v="5"/>
    <n v="44"/>
  </r>
  <r>
    <s v="R&amp;D Specialist/ Food Scientist"/>
    <x v="0"/>
    <x v="0"/>
    <n v="2.4"/>
    <s v="Hoopeston, IL"/>
    <x v="110"/>
    <x v="0"/>
    <x v="44"/>
    <n v="39"/>
    <n v="66"/>
    <n v="52.5"/>
    <x v="0"/>
    <n v="-1"/>
  </r>
  <r>
    <s v="Senior Research Scientist-Machine Learning"/>
    <x v="1"/>
    <x v="4"/>
    <n v="2.6"/>
    <s v="Pittsburgh, PA"/>
    <x v="54"/>
    <x v="0"/>
    <x v="40"/>
    <n v="81"/>
    <n v="167"/>
    <n v="124"/>
    <x v="2"/>
    <n v="37"/>
  </r>
  <r>
    <s v="Analytics Manager - Data Mart"/>
    <x v="3"/>
    <x v="6"/>
    <n v="3.5"/>
    <s v="Scotts Valley, CA"/>
    <x v="111"/>
    <x v="0"/>
    <x v="1"/>
    <n v="42"/>
    <n v="86"/>
    <n v="64"/>
    <x v="0"/>
    <n v="25"/>
  </r>
  <r>
    <s v="Sr. Data Engineer - Contract-to-Hire (Java)"/>
    <x v="1"/>
    <x v="3"/>
    <n v="3"/>
    <s v="Knoxville, TN"/>
    <x v="112"/>
    <x v="1"/>
    <x v="45"/>
    <n v="69"/>
    <n v="127"/>
    <n v="98"/>
    <x v="1"/>
    <n v="63"/>
  </r>
  <r>
    <s v="MED TECH/LAB SCIENTIST- SOUTH COASTAL LAB"/>
    <x v="0"/>
    <x v="0"/>
    <n v="3.6"/>
    <s v="Millville, DE"/>
    <x v="113"/>
    <x v="2"/>
    <x v="1"/>
    <n v="43"/>
    <n v="70"/>
    <n v="56.5"/>
    <x v="0"/>
    <n v="86"/>
  </r>
  <r>
    <s v="Food Scientist - Developer"/>
    <x v="0"/>
    <x v="0"/>
    <n v="3.3"/>
    <s v="Milwaukee, WI"/>
    <x v="66"/>
    <x v="0"/>
    <x v="44"/>
    <n v="40"/>
    <n v="68"/>
    <n v="54"/>
    <x v="0"/>
    <n v="57"/>
  </r>
  <r>
    <s v="Staff Scientist-Downstream Process Development"/>
    <x v="0"/>
    <x v="0"/>
    <n v="2.7"/>
    <s v="Rockville, MD"/>
    <x v="76"/>
    <x v="4"/>
    <x v="12"/>
    <n v="49"/>
    <n v="113"/>
    <n v="81"/>
    <x v="1"/>
    <n v="60"/>
  </r>
  <r>
    <s v="Sr. Data Engineer"/>
    <x v="1"/>
    <x v="3"/>
    <n v="3.4"/>
    <s v="Chicago, IL"/>
    <x v="17"/>
    <x v="2"/>
    <x v="46"/>
    <n v="75"/>
    <n v="140"/>
    <n v="107.5"/>
    <x v="2"/>
    <n v="16"/>
  </r>
  <r>
    <s v="Data Scientist - Quantitative"/>
    <x v="0"/>
    <x v="0"/>
    <n v="3.8"/>
    <s v="Chicago, IL"/>
    <x v="17"/>
    <x v="0"/>
    <x v="17"/>
    <n v="86"/>
    <n v="139"/>
    <n v="112.5"/>
    <x v="2"/>
    <n v="26"/>
  </r>
  <r>
    <s v="Data Scientist"/>
    <x v="0"/>
    <x v="0"/>
    <n v="3.7"/>
    <s v="Herndon, VA"/>
    <x v="19"/>
    <x v="1"/>
    <x v="0"/>
    <n v="66"/>
    <n v="112"/>
    <n v="89"/>
    <x v="1"/>
    <n v="26"/>
  </r>
  <r>
    <s v="Senior Research Statistician- Data Scientist"/>
    <x v="1"/>
    <x v="1"/>
    <n v="4.8"/>
    <s v="Sheboygan, WI"/>
    <x v="114"/>
    <x v="2"/>
    <x v="15"/>
    <n v="76"/>
    <n v="125"/>
    <n v="100.5"/>
    <x v="2"/>
    <n v="96"/>
  </r>
  <r>
    <s v="Business Data Analyst, SQL"/>
    <x v="0"/>
    <x v="2"/>
    <n v="3.8"/>
    <s v="New York, NY"/>
    <x v="4"/>
    <x v="2"/>
    <x v="38"/>
    <n v="44"/>
    <n v="86"/>
    <n v="65"/>
    <x v="0"/>
    <n v="19"/>
  </r>
  <r>
    <s v="Medical Technologist / Clinical Laboratory Scientist"/>
    <x v="0"/>
    <x v="0"/>
    <n v="3.4"/>
    <s v="New Orleans, LA"/>
    <x v="60"/>
    <x v="1"/>
    <x v="31"/>
    <n v="31"/>
    <n v="52"/>
    <n v="41.5"/>
    <x v="5"/>
    <n v="91"/>
  </r>
  <r>
    <s v="Data Scientist"/>
    <x v="0"/>
    <x v="0"/>
    <n v="4.3"/>
    <s v="Dallas, TX"/>
    <x v="5"/>
    <x v="4"/>
    <x v="7"/>
    <n v="53"/>
    <n v="92"/>
    <n v="72.5"/>
    <x v="0"/>
    <n v="22"/>
  </r>
  <r>
    <s v="Senior Data Analyst"/>
    <x v="1"/>
    <x v="2"/>
    <n v="4.8"/>
    <s v="Clearwater, FL"/>
    <x v="2"/>
    <x v="0"/>
    <x v="2"/>
    <n v="44"/>
    <n v="78"/>
    <n v="61"/>
    <x v="0"/>
    <n v="11"/>
  </r>
  <r>
    <s v="BI &amp; Platform Analytics Manager"/>
    <x v="3"/>
    <x v="6"/>
    <n v="3.4"/>
    <s v="Ewing, NJ"/>
    <x v="90"/>
    <x v="2"/>
    <x v="22"/>
    <n v="85"/>
    <n v="134"/>
    <n v="109.5"/>
    <x v="2"/>
    <n v="175"/>
  </r>
  <r>
    <s v="Data Engineer"/>
    <x v="0"/>
    <x v="3"/>
    <n v="3.9"/>
    <s v="Cambridge, MA"/>
    <x v="12"/>
    <x v="3"/>
    <x v="8"/>
    <n v="59"/>
    <n v="110"/>
    <n v="84.5"/>
    <x v="1"/>
    <n v="16"/>
  </r>
  <r>
    <s v="Data Scientist"/>
    <x v="0"/>
    <x v="0"/>
    <n v="3.4"/>
    <s v="Chicago, IL"/>
    <x v="17"/>
    <x v="3"/>
    <x v="4"/>
    <n v="64"/>
    <n v="111"/>
    <n v="87.5"/>
    <x v="1"/>
    <n v="29"/>
  </r>
  <r>
    <s v="Data Analyst"/>
    <x v="0"/>
    <x v="2"/>
    <n v="3.1"/>
    <s v="San Mateo, CA"/>
    <x v="115"/>
    <x v="2"/>
    <x v="47"/>
    <n v="65"/>
    <n v="120"/>
    <n v="92.5"/>
    <x v="1"/>
    <n v="24"/>
  </r>
  <r>
    <s v="Associate Data Scientist/Computer Scientist"/>
    <x v="2"/>
    <x v="0"/>
    <n v="3.2"/>
    <s v="McLean, VA"/>
    <x v="64"/>
    <x v="5"/>
    <x v="31"/>
    <n v="60"/>
    <n v="103"/>
    <n v="81.5"/>
    <x v="1"/>
    <n v="63"/>
  </r>
  <r>
    <s v="Business Intelligence Analyst / Developer"/>
    <x v="0"/>
    <x v="0"/>
    <n v="4.3"/>
    <s v="Dayton, OH"/>
    <x v="116"/>
    <x v="2"/>
    <x v="48"/>
    <n v="53"/>
    <n v="105"/>
    <n v="79"/>
    <x v="1"/>
    <n v="40"/>
  </r>
  <r>
    <s v="Lead Data Scientist"/>
    <x v="1"/>
    <x v="0"/>
    <n v="3.6"/>
    <s v="Boston, MA"/>
    <x v="38"/>
    <x v="5"/>
    <x v="15"/>
    <n v="124"/>
    <n v="204"/>
    <n v="164"/>
    <x v="4"/>
    <n v="170"/>
  </r>
  <r>
    <s v="Sr. Data Scientist - Analytics, Personalized Healthcare (PHC)"/>
    <x v="1"/>
    <x v="0"/>
    <n v="3.9"/>
    <s v="South San Francisco, CA"/>
    <x v="91"/>
    <x v="1"/>
    <x v="12"/>
    <n v="131"/>
    <n v="207"/>
    <n v="169"/>
    <x v="4"/>
    <n v="45"/>
  </r>
  <r>
    <s v="Senior Data Scientist"/>
    <x v="1"/>
    <x v="0"/>
    <n v="3.8"/>
    <s v="Cupertino, CA"/>
    <x v="92"/>
    <x v="5"/>
    <x v="18"/>
    <n v="110"/>
    <n v="174"/>
    <n v="142"/>
    <x v="3"/>
    <n v="25"/>
  </r>
  <r>
    <s v="Data Analyst"/>
    <x v="0"/>
    <x v="2"/>
    <n v="2.8"/>
    <s v="Parlier, CA"/>
    <x v="117"/>
    <x v="0"/>
    <x v="49"/>
    <n v="33"/>
    <n v="62"/>
    <n v="47.5"/>
    <x v="5"/>
    <n v="-1"/>
  </r>
  <r>
    <s v="Pricipal Scientist Molecular and cellular biologist"/>
    <x v="0"/>
    <x v="0"/>
    <n v="3.7"/>
    <s v="Boston, MA"/>
    <x v="38"/>
    <x v="1"/>
    <x v="12"/>
    <n v="52"/>
    <n v="101"/>
    <n v="76.5"/>
    <x v="1"/>
    <n v="240"/>
  </r>
  <r>
    <s v="Data Analyst"/>
    <x v="0"/>
    <x v="2"/>
    <n v="3.4"/>
    <s v="San Francisco, CA"/>
    <x v="15"/>
    <x v="3"/>
    <x v="14"/>
    <n v="48"/>
    <n v="90"/>
    <n v="69"/>
    <x v="0"/>
    <n v="8"/>
  </r>
  <r>
    <s v="Data Analyst"/>
    <x v="0"/>
    <x v="2"/>
    <n v="4"/>
    <s v="Meridian, ID"/>
    <x v="118"/>
    <x v="4"/>
    <x v="20"/>
    <n v="34"/>
    <n v="64"/>
    <n v="49"/>
    <x v="5"/>
    <n v="37"/>
  </r>
  <r>
    <s v="Staff Data Scientist"/>
    <x v="0"/>
    <x v="0"/>
    <n v="3.5"/>
    <s v="San Jose, CA"/>
    <x v="7"/>
    <x v="1"/>
    <x v="20"/>
    <n v="132"/>
    <n v="211"/>
    <n v="171.5"/>
    <x v="4"/>
    <n v="51"/>
  </r>
  <r>
    <s v="Data Scientist (Actuary, FSA or ASA)"/>
    <x v="0"/>
    <x v="0"/>
    <n v="3.8"/>
    <s v="Frederick, MD"/>
    <x v="93"/>
    <x v="0"/>
    <x v="15"/>
    <n v="81"/>
    <n v="133"/>
    <n v="107"/>
    <x v="2"/>
    <n v="40"/>
  </r>
  <r>
    <s v="System and Data Analyst"/>
    <x v="0"/>
    <x v="2"/>
    <n v="3.7"/>
    <s v="Cherry Hill, NJ"/>
    <x v="119"/>
    <x v="4"/>
    <x v="14"/>
    <n v="42"/>
    <n v="76"/>
    <n v="59"/>
    <x v="0"/>
    <n v="25"/>
  </r>
  <r>
    <s v="Data Scientist"/>
    <x v="0"/>
    <x v="0"/>
    <n v="3.5"/>
    <s v="Indianapolis, IN"/>
    <x v="50"/>
    <x v="4"/>
    <x v="19"/>
    <n v="66"/>
    <n v="111"/>
    <n v="88.5"/>
    <x v="1"/>
    <n v="2"/>
  </r>
  <r>
    <s v="Data Engineer 5 - Contract (Remote)"/>
    <x v="0"/>
    <x v="3"/>
    <n v="4.2"/>
    <s v="Riverton, UT"/>
    <x v="88"/>
    <x v="1"/>
    <x v="39"/>
    <n v="74"/>
    <n v="140"/>
    <n v="107"/>
    <x v="2"/>
    <n v="-1"/>
  </r>
  <r>
    <s v="Digital Health Data Scientist"/>
    <x v="0"/>
    <x v="0"/>
    <n v="4"/>
    <s v="Cambridge, MA"/>
    <x v="12"/>
    <x v="1"/>
    <x v="12"/>
    <n v="63"/>
    <n v="110"/>
    <n v="86.5"/>
    <x v="1"/>
    <n v="172"/>
  </r>
  <r>
    <s v="Data Scientist"/>
    <x v="0"/>
    <x v="0"/>
    <n v="4.3"/>
    <s v="Louisville, KY"/>
    <x v="18"/>
    <x v="3"/>
    <x v="17"/>
    <n v="63"/>
    <n v="105"/>
    <n v="84"/>
    <x v="1"/>
    <n v="86"/>
  </r>
  <r>
    <s v="Data &amp; Analytics Consultant (NYC)"/>
    <x v="0"/>
    <x v="0"/>
    <n v="4.7"/>
    <s v="New York, NY"/>
    <x v="4"/>
    <x v="4"/>
    <x v="7"/>
    <n v="91"/>
    <n v="138"/>
    <n v="114.5"/>
    <x v="2"/>
    <n v="29"/>
  </r>
  <r>
    <s v="Senior Scientist - Neuroscience"/>
    <x v="1"/>
    <x v="0"/>
    <n v="3.5"/>
    <s v="Marlborough, MA"/>
    <x v="30"/>
    <x v="2"/>
    <x v="12"/>
    <n v="100"/>
    <n v="190"/>
    <n v="145"/>
    <x v="3"/>
    <n v="11"/>
  </r>
  <r>
    <s v="Data Engineer"/>
    <x v="0"/>
    <x v="3"/>
    <n v="4.4000000000000004"/>
    <s v="Nashville, TN"/>
    <x v="120"/>
    <x v="2"/>
    <x v="8"/>
    <n v="62"/>
    <n v="114"/>
    <n v="88"/>
    <x v="1"/>
    <n v="15"/>
  </r>
  <r>
    <s v="Big Data Engineer - Chicago - Future Opportunity"/>
    <x v="0"/>
    <x v="3"/>
    <n v="4.0999999999999996"/>
    <s v="Chicago, IL"/>
    <x v="17"/>
    <x v="0"/>
    <x v="8"/>
    <n v="71"/>
    <n v="129"/>
    <n v="100"/>
    <x v="2"/>
    <n v="20"/>
  </r>
  <r>
    <s v="Senior Data Analyst"/>
    <x v="1"/>
    <x v="2"/>
    <n v="2.9"/>
    <s v="Herndon, VA"/>
    <x v="19"/>
    <x v="4"/>
    <x v="40"/>
    <n v="43"/>
    <n v="80"/>
    <n v="61.5"/>
    <x v="0"/>
    <n v="28"/>
  </r>
  <r>
    <s v="Data Scientist"/>
    <x v="0"/>
    <x v="0"/>
    <n v="2.5"/>
    <s v="Portland, OR"/>
    <x v="121"/>
    <x v="2"/>
    <x v="4"/>
    <n v="74"/>
    <n v="119"/>
    <n v="96.5"/>
    <x v="1"/>
    <n v="22"/>
  </r>
  <r>
    <s v="Survey Data Analyst"/>
    <x v="0"/>
    <x v="2"/>
    <n v="4.2"/>
    <s v="Minneapolis, MN"/>
    <x v="77"/>
    <x v="4"/>
    <x v="7"/>
    <n v="55"/>
    <n v="97"/>
    <n v="76"/>
    <x v="1"/>
    <n v="29"/>
  </r>
  <r>
    <s v="Data Scientist"/>
    <x v="0"/>
    <x v="0"/>
    <n v="3.9"/>
    <s v="Port Washington, NY"/>
    <x v="122"/>
    <x v="2"/>
    <x v="10"/>
    <n v="15"/>
    <n v="16"/>
    <n v="15.5"/>
    <x v="5"/>
    <n v="55"/>
  </r>
  <r>
    <s v="Data Scientist"/>
    <x v="0"/>
    <x v="0"/>
    <n v="4.3"/>
    <s v="Austin, TX"/>
    <x v="123"/>
    <x v="6"/>
    <x v="4"/>
    <n v="61"/>
    <n v="106"/>
    <n v="83.5"/>
    <x v="1"/>
    <n v="11"/>
  </r>
  <r>
    <s v="Risk and Analytics IT, Data Scientist"/>
    <x v="0"/>
    <x v="0"/>
    <n v="2.7"/>
    <s v="Madison, WI"/>
    <x v="95"/>
    <x v="3"/>
    <x v="41"/>
    <n v="91"/>
    <n v="149"/>
    <n v="120"/>
    <x v="2"/>
    <n v="70"/>
  </r>
  <r>
    <s v="Data Scientist"/>
    <x v="0"/>
    <x v="0"/>
    <n v="3.9"/>
    <s v="South San Francisco, CA"/>
    <x v="91"/>
    <x v="1"/>
    <x v="12"/>
    <n v="127"/>
    <n v="199"/>
    <n v="163"/>
    <x v="4"/>
    <n v="45"/>
  </r>
  <r>
    <s v="Lead Health Data Analyst - Front End"/>
    <x v="1"/>
    <x v="2"/>
    <n v="3.4"/>
    <s v="Providence, RI"/>
    <x v="124"/>
    <x v="0"/>
    <x v="15"/>
    <n v="74"/>
    <n v="126"/>
    <n v="100"/>
    <x v="2"/>
    <n v="82"/>
  </r>
  <r>
    <s v="Research Scientist"/>
    <x v="0"/>
    <x v="1"/>
    <n v="3.8"/>
    <s v="Omaha, NE"/>
    <x v="74"/>
    <x v="2"/>
    <x v="49"/>
    <n v="33"/>
    <n v="72"/>
    <n v="52.5"/>
    <x v="0"/>
    <n v="104"/>
  </r>
  <r>
    <s v="Medical Lab Scientist"/>
    <x v="0"/>
    <x v="0"/>
    <n v="3.6"/>
    <s v="West Reading, PA"/>
    <x v="94"/>
    <x v="5"/>
    <x v="1"/>
    <n v="35"/>
    <n v="49"/>
    <n v="42"/>
    <x v="5"/>
    <n v="4"/>
  </r>
  <r>
    <s v="Junior Data Analyst"/>
    <x v="2"/>
    <x v="2"/>
    <n v="3.3"/>
    <s v="Washington, DC"/>
    <x v="32"/>
    <x v="0"/>
    <x v="1"/>
    <n v="37"/>
    <n v="63"/>
    <n v="50"/>
    <x v="0"/>
    <n v="138"/>
  </r>
  <r>
    <s v="SQL Data Engineer"/>
    <x v="0"/>
    <x v="3"/>
    <n v="3.4"/>
    <s v="Austin, TX"/>
    <x v="123"/>
    <x v="4"/>
    <x v="7"/>
    <n v="67"/>
    <n v="119"/>
    <n v="93"/>
    <x v="1"/>
    <n v="15"/>
  </r>
  <r>
    <s v="Data Scientist"/>
    <x v="0"/>
    <x v="0"/>
    <n v="3"/>
    <s v="Cincinnati, OH"/>
    <x v="43"/>
    <x v="2"/>
    <x v="16"/>
    <n v="72"/>
    <n v="117"/>
    <n v="94.5"/>
    <x v="1"/>
    <n v="134"/>
  </r>
  <r>
    <s v="Senior Data Scientist"/>
    <x v="1"/>
    <x v="0"/>
    <n v="4"/>
    <s v="San Francisco, CA"/>
    <x v="15"/>
    <x v="5"/>
    <x v="20"/>
    <n v="116"/>
    <n v="185"/>
    <n v="150.5"/>
    <x v="4"/>
    <n v="39"/>
  </r>
  <r>
    <s v="Data Scientist"/>
    <x v="0"/>
    <x v="0"/>
    <n v="3.7"/>
    <s v="Raleigh, NC"/>
    <x v="125"/>
    <x v="2"/>
    <x v="15"/>
    <n v="78"/>
    <n v="126"/>
    <n v="102"/>
    <x v="2"/>
    <n v="17"/>
  </r>
  <r>
    <s v="Scientist, Analytical Development"/>
    <x v="0"/>
    <x v="0"/>
    <n v="4.4000000000000004"/>
    <s v="Cambridge, MA"/>
    <x v="12"/>
    <x v="4"/>
    <x v="12"/>
    <n v="42"/>
    <n v="82"/>
    <n v="62"/>
    <x v="0"/>
    <n v="8"/>
  </r>
  <r>
    <s v="Analytics Manager"/>
    <x v="3"/>
    <x v="6"/>
    <n v="4.3"/>
    <s v="Dearborn, MI"/>
    <x v="96"/>
    <x v="4"/>
    <x v="4"/>
    <n v="59"/>
    <n v="116"/>
    <n v="87.5"/>
    <x v="1"/>
    <n v="54"/>
  </r>
  <r>
    <s v="Clinical Data Scientist"/>
    <x v="0"/>
    <x v="0"/>
    <n v="4"/>
    <s v="Groton, CT"/>
    <x v="22"/>
    <x v="1"/>
    <x v="12"/>
    <n v="63"/>
    <n v="105"/>
    <n v="84"/>
    <x v="1"/>
    <n v="172"/>
  </r>
  <r>
    <s v="Data Scientist"/>
    <x v="0"/>
    <x v="0"/>
    <n v="4"/>
    <s v="Herndon, VA"/>
    <x v="19"/>
    <x v="0"/>
    <x v="14"/>
    <n v="109"/>
    <n v="177"/>
    <n v="143"/>
    <x v="3"/>
    <n v="9"/>
  </r>
  <r>
    <s v="Sr. Data Scientist, Cyber-Security LT Contract"/>
    <x v="1"/>
    <x v="0"/>
    <n v="3.2"/>
    <s v="Phila, PA"/>
    <x v="126"/>
    <x v="6"/>
    <x v="27"/>
    <n v="116"/>
    <n v="194"/>
    <n v="155"/>
    <x v="4"/>
    <n v="-1"/>
  </r>
  <r>
    <s v="Data Engineer"/>
    <x v="0"/>
    <x v="3"/>
    <n v="4.2"/>
    <s v="Winter Park, FL"/>
    <x v="97"/>
    <x v="3"/>
    <x v="4"/>
    <n v="48"/>
    <n v="95"/>
    <n v="71.5"/>
    <x v="0"/>
    <n v="15"/>
  </r>
  <r>
    <s v="Data Scientist"/>
    <x v="0"/>
    <x v="0"/>
    <n v="3.9"/>
    <s v="Oakland, CA"/>
    <x v="127"/>
    <x v="3"/>
    <x v="15"/>
    <n v="83"/>
    <n v="133"/>
    <n v="108"/>
    <x v="2"/>
    <n v="21"/>
  </r>
  <r>
    <s v="Sr. Scientist - Digital &amp; Image Analysis/Computational Pathology"/>
    <x v="1"/>
    <x v="0"/>
    <n v="3.7"/>
    <s v="San Diego, CA"/>
    <x v="41"/>
    <x v="1"/>
    <x v="12"/>
    <n v="105"/>
    <n v="198"/>
    <n v="151.5"/>
    <x v="4"/>
    <n v="240"/>
  </r>
  <r>
    <s v="Digital Marketing &amp; ECommerce Data Analyst"/>
    <x v="0"/>
    <x v="2"/>
    <n v="3.6"/>
    <s v="San Rafael, CA"/>
    <x v="98"/>
    <x v="3"/>
    <x v="11"/>
    <n v="31"/>
    <n v="72"/>
    <n v="51.5"/>
    <x v="0"/>
    <n v="15"/>
  </r>
  <r>
    <s v="Principal Scientist - Immunologist"/>
    <x v="1"/>
    <x v="0"/>
    <n v="3.7"/>
    <s v="Boston, MA"/>
    <x v="38"/>
    <x v="1"/>
    <x v="12"/>
    <n v="98"/>
    <n v="182"/>
    <n v="140"/>
    <x v="3"/>
    <n v="240"/>
  </r>
  <r>
    <s v="Senior Data Analyst"/>
    <x v="1"/>
    <x v="2"/>
    <n v="2.8"/>
    <s v="Hamilton, NJ"/>
    <x v="99"/>
    <x v="4"/>
    <x v="19"/>
    <n v="55"/>
    <n v="100"/>
    <n v="77.5"/>
    <x v="1"/>
    <n v="7"/>
  </r>
  <r>
    <s v="Insurance Financial Data Analyst"/>
    <x v="0"/>
    <x v="2"/>
    <n v="4.2"/>
    <s v="Boise, ID"/>
    <x v="128"/>
    <x v="0"/>
    <x v="41"/>
    <n v="45"/>
    <n v="82"/>
    <n v="63.5"/>
    <x v="0"/>
    <n v="17"/>
  </r>
  <r>
    <s v="Data Scientist"/>
    <x v="0"/>
    <x v="0"/>
    <n v="4"/>
    <s v="San Francisco, CA"/>
    <x v="15"/>
    <x v="6"/>
    <x v="19"/>
    <n v="83"/>
    <n v="135"/>
    <n v="109"/>
    <x v="2"/>
    <n v="-1"/>
  </r>
  <r>
    <s v="Data Scientist"/>
    <x v="0"/>
    <x v="0"/>
    <n v="3.5"/>
    <s v="Oak Ridge, TN"/>
    <x v="129"/>
    <x v="5"/>
    <x v="0"/>
    <n v="70"/>
    <n v="122"/>
    <n v="96"/>
    <x v="1"/>
    <n v="171"/>
  </r>
  <r>
    <s v="Principal Data Scientist with over 10 years experience"/>
    <x v="1"/>
    <x v="0"/>
    <n v="-1"/>
    <s v="San Francisco, CA"/>
    <x v="15"/>
    <x v="3"/>
    <x v="19"/>
    <n v="200"/>
    <n v="250"/>
    <n v="225"/>
    <x v="4"/>
    <n v="4"/>
  </r>
  <r>
    <s v="Data Engineer"/>
    <x v="0"/>
    <x v="3"/>
    <n v="3.2"/>
    <s v="Agoura Hills, CA"/>
    <x v="130"/>
    <x v="2"/>
    <x v="42"/>
    <n v="70"/>
    <n v="132"/>
    <n v="101"/>
    <x v="2"/>
    <n v="13"/>
  </r>
  <r>
    <s v="Senior Data Scientist"/>
    <x v="1"/>
    <x v="0"/>
    <n v="3.3"/>
    <s v="Woodbridge, NJ"/>
    <x v="100"/>
    <x v="2"/>
    <x v="15"/>
    <n v="73"/>
    <n v="124"/>
    <n v="98.5"/>
    <x v="1"/>
    <n v="39"/>
  </r>
  <r>
    <s v="Data Engineer I - Azure"/>
    <x v="0"/>
    <x v="3"/>
    <n v="3.9"/>
    <s v="Pella, IA"/>
    <x v="131"/>
    <x v="2"/>
    <x v="23"/>
    <n v="54"/>
    <n v="101"/>
    <n v="77.5"/>
    <x v="1"/>
    <n v="73"/>
  </r>
  <r>
    <s v="Sr. Scientist, Quantitative Translational Sciences"/>
    <x v="1"/>
    <x v="0"/>
    <n v="3.7"/>
    <s v="Boston, MA"/>
    <x v="38"/>
    <x v="1"/>
    <x v="12"/>
    <n v="117"/>
    <n v="206"/>
    <n v="161.5"/>
    <x v="4"/>
    <n v="240"/>
  </r>
  <r>
    <s v="MED TECH/LAB SCIENTIST - LABORATORY"/>
    <x v="0"/>
    <x v="0"/>
    <n v="3.6"/>
    <s v="Lewes, DE"/>
    <x v="101"/>
    <x v="2"/>
    <x v="1"/>
    <n v="43"/>
    <n v="70"/>
    <n v="56.5"/>
    <x v="0"/>
    <n v="86"/>
  </r>
  <r>
    <s v="Sr. Data Scientist II"/>
    <x v="1"/>
    <x v="0"/>
    <n v="3.4"/>
    <s v="New York, NY"/>
    <x v="4"/>
    <x v="2"/>
    <x v="15"/>
    <n v="111"/>
    <n v="183"/>
    <n v="147"/>
    <x v="3"/>
    <n v="73"/>
  </r>
  <r>
    <s v="Data Scientist"/>
    <x v="0"/>
    <x v="0"/>
    <n v="3.5"/>
    <s v="San Ramon, CA"/>
    <x v="132"/>
    <x v="1"/>
    <x v="19"/>
    <n v="68"/>
    <n v="112"/>
    <n v="90"/>
    <x v="1"/>
    <n v="24"/>
  </r>
  <r>
    <s v="Information Security Data Analyst"/>
    <x v="0"/>
    <x v="2"/>
    <n v="4.3"/>
    <s v="Red Bank, NJ"/>
    <x v="133"/>
    <x v="0"/>
    <x v="6"/>
    <n v="42"/>
    <n v="74"/>
    <n v="58"/>
    <x v="0"/>
    <n v="119"/>
  </r>
  <r>
    <s v="Excel / VBA / SQL Data Analyst"/>
    <x v="0"/>
    <x v="2"/>
    <n v="4.0999999999999996"/>
    <s v="Springfield, MO"/>
    <x v="102"/>
    <x v="0"/>
    <x v="3"/>
    <n v="44"/>
    <n v="78"/>
    <n v="61"/>
    <x v="0"/>
    <n v="60"/>
  </r>
  <r>
    <s v="Machine Learning Research Scientist"/>
    <x v="0"/>
    <x v="4"/>
    <n v="2.6"/>
    <s v="Pittsburgh, PA"/>
    <x v="54"/>
    <x v="0"/>
    <x v="40"/>
    <n v="81"/>
    <n v="159"/>
    <n v="120"/>
    <x v="2"/>
    <n v="37"/>
  </r>
  <r>
    <s v="Data Scientist"/>
    <x v="0"/>
    <x v="0"/>
    <n v="3.6"/>
    <s v="New York, NY"/>
    <x v="4"/>
    <x v="2"/>
    <x v="50"/>
    <n v="95"/>
    <n v="161"/>
    <n v="128"/>
    <x v="3"/>
    <n v="277"/>
  </r>
  <r>
    <s v="Data Scientist"/>
    <x v="0"/>
    <x v="0"/>
    <n v="3.5"/>
    <s v="Hillsboro, OR"/>
    <x v="20"/>
    <x v="2"/>
    <x v="6"/>
    <n v="75"/>
    <n v="124"/>
    <n v="99.5"/>
    <x v="1"/>
    <n v="69"/>
  </r>
  <r>
    <s v="Data Scientist"/>
    <x v="0"/>
    <x v="0"/>
    <n v="3.6"/>
    <s v="Detroit, MI"/>
    <x v="23"/>
    <x v="2"/>
    <x v="5"/>
    <n v="72"/>
    <n v="120"/>
    <n v="96"/>
    <x v="1"/>
    <n v="24"/>
  </r>
  <r>
    <s v="Data Scientist"/>
    <x v="0"/>
    <x v="0"/>
    <n v="2.2999999999999998"/>
    <s v="Washington, DC"/>
    <x v="32"/>
    <x v="4"/>
    <x v="12"/>
    <n v="76"/>
    <n v="126"/>
    <n v="101"/>
    <x v="2"/>
    <n v="18"/>
  </r>
  <r>
    <s v="Senior Data Scientist"/>
    <x v="1"/>
    <x v="0"/>
    <n v="3.9"/>
    <s v="Burbank, CA"/>
    <x v="103"/>
    <x v="3"/>
    <x v="30"/>
    <n v="114"/>
    <n v="182"/>
    <n v="148"/>
    <x v="3"/>
    <n v="12"/>
  </r>
  <r>
    <s v="Data Scientist, Senior"/>
    <x v="1"/>
    <x v="0"/>
    <n v="4"/>
    <s v="Fort Belvoir, VA"/>
    <x v="65"/>
    <x v="0"/>
    <x v="14"/>
    <n v="108"/>
    <n v="176"/>
    <n v="142"/>
    <x v="3"/>
    <n v="9"/>
  </r>
  <r>
    <s v="Senior Data Scientist"/>
    <x v="1"/>
    <x v="0"/>
    <n v="4.0999999999999996"/>
    <s v="Palo Alto, CA"/>
    <x v="44"/>
    <x v="6"/>
    <x v="51"/>
    <n v="130"/>
    <n v="208"/>
    <n v="169"/>
    <x v="4"/>
    <n v="14"/>
  </r>
  <r>
    <s v="VP, Data Science"/>
    <x v="3"/>
    <x v="0"/>
    <n v="3.2"/>
    <s v="Phoenix, AZ"/>
    <x v="73"/>
    <x v="2"/>
    <x v="42"/>
    <n v="83"/>
    <n v="166"/>
    <n v="124.5"/>
    <x v="2"/>
    <n v="13"/>
  </r>
  <r>
    <s v="Radar Data Analyst"/>
    <x v="0"/>
    <x v="2"/>
    <n v="4.7"/>
    <s v="Huntsville, AL"/>
    <x v="39"/>
    <x v="3"/>
    <x v="0"/>
    <n v="42"/>
    <n v="76"/>
    <n v="59"/>
    <x v="0"/>
    <n v="25"/>
  </r>
  <r>
    <s v="CONSULTANTâ€“ DATA ANALYTICS GROUP"/>
    <x v="0"/>
    <x v="0"/>
    <n v="4.2"/>
    <s v="San Diego, CA"/>
    <x v="41"/>
    <x v="3"/>
    <x v="7"/>
    <n v="37"/>
    <n v="68"/>
    <n v="52.5"/>
    <x v="0"/>
    <n v="34"/>
  </r>
  <r>
    <s v="Data Engineer"/>
    <x v="0"/>
    <x v="3"/>
    <n v="4.5999999999999996"/>
    <s v="Houston, TX"/>
    <x v="69"/>
    <x v="0"/>
    <x v="19"/>
    <n v="52"/>
    <n v="99"/>
    <n v="75.5"/>
    <x v="1"/>
    <n v="39"/>
  </r>
  <r>
    <s v="Senior Data Scientist"/>
    <x v="1"/>
    <x v="0"/>
    <n v="3.7"/>
    <s v="Armonk, NY"/>
    <x v="40"/>
    <x v="1"/>
    <x v="16"/>
    <n v="105"/>
    <n v="173"/>
    <n v="139"/>
    <x v="3"/>
    <n v="158"/>
  </r>
  <r>
    <s v="Data Engineer, Data Engineering and Artifical Intelligence"/>
    <x v="0"/>
    <x v="3"/>
    <n v="3.7"/>
    <s v="Cambridge, MA"/>
    <x v="12"/>
    <x v="1"/>
    <x v="12"/>
    <n v="71"/>
    <n v="134"/>
    <n v="102.5"/>
    <x v="2"/>
    <n v="240"/>
  </r>
  <r>
    <s v="Staff Scientist"/>
    <x v="0"/>
    <x v="0"/>
    <n v="4.4000000000000004"/>
    <s v="Columbia, SC"/>
    <x v="134"/>
    <x v="4"/>
    <x v="36"/>
    <n v="39"/>
    <n v="82"/>
    <n v="60.5"/>
    <x v="0"/>
    <n v="92"/>
  </r>
  <r>
    <s v="PL Actuarial-Lead Data Scientist"/>
    <x v="1"/>
    <x v="0"/>
    <n v="3.7"/>
    <s v="Worcester, MA"/>
    <x v="21"/>
    <x v="5"/>
    <x v="15"/>
    <n v="114"/>
    <n v="179"/>
    <n v="146.5"/>
    <x v="3"/>
    <n v="169"/>
  </r>
  <r>
    <s v="Associate Scientist/Scientist, Process Analytical Technology - Small Molecule Analytical Chemistry"/>
    <x v="2"/>
    <x v="0"/>
    <n v="3.9"/>
    <s v="South San Francisco, CA"/>
    <x v="91"/>
    <x v="1"/>
    <x v="12"/>
    <n v="88"/>
    <n v="162"/>
    <n v="125"/>
    <x v="3"/>
    <n v="45"/>
  </r>
  <r>
    <s v="Sr. Data Analyst"/>
    <x v="1"/>
    <x v="2"/>
    <n v="3.6"/>
    <s v="Springfield, MA"/>
    <x v="102"/>
    <x v="5"/>
    <x v="15"/>
    <n v="60"/>
    <n v="102"/>
    <n v="81"/>
    <x v="1"/>
    <n v="170"/>
  </r>
  <r>
    <s v="Senior Data &amp; Machine Learning Scientist"/>
    <x v="1"/>
    <x v="4"/>
    <n v="3"/>
    <s v="Chicago, IL"/>
    <x v="17"/>
    <x v="0"/>
    <x v="12"/>
    <n v="100"/>
    <n v="166"/>
    <n v="133"/>
    <x v="3"/>
    <n v="6"/>
  </r>
  <r>
    <s v="Program/Data Analyst"/>
    <x v="0"/>
    <x v="2"/>
    <n v="3.4"/>
    <s v="Washington, DC"/>
    <x v="32"/>
    <x v="1"/>
    <x v="19"/>
    <n v="55"/>
    <n v="99"/>
    <n v="77"/>
    <x v="1"/>
    <n v="25"/>
  </r>
  <r>
    <s v="Data Engineer"/>
    <x v="0"/>
    <x v="3"/>
    <n v="4.0999999999999996"/>
    <s v="Herndon, VA"/>
    <x v="19"/>
    <x v="5"/>
    <x v="10"/>
    <n v="67"/>
    <n v="117"/>
    <n v="92"/>
    <x v="1"/>
    <n v="53"/>
  </r>
  <r>
    <s v="Senior Data Scientist: Causal &amp; Predictive analytics AI Innovation Lab"/>
    <x v="1"/>
    <x v="0"/>
    <n v="3.8"/>
    <s v="Cambridge, MA"/>
    <x v="12"/>
    <x v="1"/>
    <x v="12"/>
    <n v="92"/>
    <n v="150"/>
    <n v="121"/>
    <x v="2"/>
    <n v="25"/>
  </r>
  <r>
    <s v="Principal Data Engineer, Data Platform &amp; Insights"/>
    <x v="1"/>
    <x v="3"/>
    <n v="4"/>
    <s v="San Francisco, CA"/>
    <x v="15"/>
    <x v="5"/>
    <x v="20"/>
    <n v="116"/>
    <n v="209"/>
    <n v="162.5"/>
    <x v="4"/>
    <n v="39"/>
  </r>
  <r>
    <s v="RESEARCH SCIENTIST - BIOLOGICAL SAFETY"/>
    <x v="0"/>
    <x v="1"/>
    <n v="3.9"/>
    <s v="San Antonio, TX"/>
    <x v="135"/>
    <x v="2"/>
    <x v="10"/>
    <n v="38"/>
    <n v="82"/>
    <n v="60"/>
    <x v="0"/>
    <n v="74"/>
  </r>
  <r>
    <s v="Data Operations Lead"/>
    <x v="1"/>
    <x v="0"/>
    <n v="-1"/>
    <s v="San Francisco, CA"/>
    <x v="15"/>
    <x v="4"/>
    <x v="21"/>
    <n v="85"/>
    <n v="90"/>
    <n v="87.5"/>
    <x v="1"/>
    <n v="-1"/>
  </r>
  <r>
    <s v="Big Data Engineer"/>
    <x v="0"/>
    <x v="3"/>
    <n v="4.4000000000000004"/>
    <s v="Indianapolis, IN"/>
    <x v="50"/>
    <x v="6"/>
    <x v="14"/>
    <n v="62"/>
    <n v="119"/>
    <n v="90.5"/>
    <x v="1"/>
    <n v="6"/>
  </r>
  <r>
    <s v="Data Scientist / Machine Learning Expert"/>
    <x v="0"/>
    <x v="4"/>
    <n v="3.8"/>
    <s v="Cambridge, MA"/>
    <x v="12"/>
    <x v="1"/>
    <x v="12"/>
    <n v="86"/>
    <n v="143"/>
    <n v="114.5"/>
    <x v="2"/>
    <n v="25"/>
  </r>
  <r>
    <s v="Data Scientist"/>
    <x v="0"/>
    <x v="0"/>
    <n v="3.8"/>
    <s v="Sunnyvale, CA"/>
    <x v="24"/>
    <x v="5"/>
    <x v="18"/>
    <n v="93"/>
    <n v="149"/>
    <n v="121"/>
    <x v="2"/>
    <n v="25"/>
  </r>
  <r>
    <s v="Senior Data Scientist"/>
    <x v="1"/>
    <x v="0"/>
    <n v="2.2000000000000002"/>
    <s v="Dallas, TX"/>
    <x v="5"/>
    <x v="0"/>
    <x v="4"/>
    <n v="84"/>
    <n v="136"/>
    <n v="110"/>
    <x v="2"/>
    <n v="28"/>
  </r>
  <r>
    <s v="PV Scientist"/>
    <x v="0"/>
    <x v="0"/>
    <n v="2.9"/>
    <s v="Newton, MA"/>
    <x v="104"/>
    <x v="4"/>
    <x v="12"/>
    <n v="60"/>
    <n v="123"/>
    <n v="91.5"/>
    <x v="1"/>
    <n v="-1"/>
  </r>
  <r>
    <s v="Clinical Data Analyst"/>
    <x v="0"/>
    <x v="2"/>
    <n v="4.0999999999999996"/>
    <s v="Portsmouth, VA"/>
    <x v="136"/>
    <x v="5"/>
    <x v="10"/>
    <n v="52"/>
    <n v="89"/>
    <n v="70.5"/>
    <x v="0"/>
    <n v="53"/>
  </r>
  <r>
    <s v="Data Engineer"/>
    <x v="0"/>
    <x v="3"/>
    <n v="3.7"/>
    <s v="Lafayette, LA"/>
    <x v="106"/>
    <x v="0"/>
    <x v="20"/>
    <n v="48"/>
    <n v="93"/>
    <n v="70.5"/>
    <x v="0"/>
    <n v="-1"/>
  </r>
  <r>
    <s v="Computational Chemist/Data Scientist"/>
    <x v="0"/>
    <x v="0"/>
    <n v="3.8"/>
    <s v="Richland, WA"/>
    <x v="3"/>
    <x v="2"/>
    <x v="3"/>
    <n v="56"/>
    <n v="97"/>
    <n v="76.5"/>
    <x v="1"/>
    <n v="56"/>
  </r>
  <r>
    <s v="Data Engineer"/>
    <x v="0"/>
    <x v="3"/>
    <n v="3.6"/>
    <s v="Springfield, MA"/>
    <x v="102"/>
    <x v="5"/>
    <x v="15"/>
    <n v="65"/>
    <n v="119"/>
    <n v="92"/>
    <x v="1"/>
    <n v="170"/>
  </r>
  <r>
    <s v="Principal Data Scientist (Computational Chemistry)"/>
    <x v="1"/>
    <x v="0"/>
    <n v="4.7"/>
    <s v="Salt Lake City, UT"/>
    <x v="105"/>
    <x v="3"/>
    <x v="12"/>
    <n v="108"/>
    <n v="173"/>
    <n v="140.5"/>
    <x v="3"/>
    <n v="8"/>
  </r>
  <r>
    <s v="Product Engineer â€“ Data Science"/>
    <x v="0"/>
    <x v="0"/>
    <n v="3.5"/>
    <s v="Arlington, VA"/>
    <x v="57"/>
    <x v="2"/>
    <x v="20"/>
    <n v="63"/>
    <n v="101"/>
    <n v="82"/>
    <x v="1"/>
    <n v="52"/>
  </r>
  <r>
    <s v="Principal Scientist, Chemistry &amp; Immunology"/>
    <x v="1"/>
    <x v="0"/>
    <n v="3.3"/>
    <s v="Rochester, NY"/>
    <x v="8"/>
    <x v="1"/>
    <x v="1"/>
    <n v="54"/>
    <n v="115"/>
    <n v="84.5"/>
    <x v="1"/>
    <n v="7"/>
  </r>
  <r>
    <s v="Scientist/Senior Scientist, Autoimmune"/>
    <x v="1"/>
    <x v="0"/>
    <n v="4.4000000000000004"/>
    <s v="Cambridge, MA"/>
    <x v="12"/>
    <x v="4"/>
    <x v="12"/>
    <n v="90"/>
    <n v="179"/>
    <n v="134.5"/>
    <x v="3"/>
    <n v="8"/>
  </r>
  <r>
    <s v="Data Scientist"/>
    <x v="0"/>
    <x v="0"/>
    <n v="3.3"/>
    <s v="San Francisco, CA"/>
    <x v="15"/>
    <x v="4"/>
    <x v="4"/>
    <n v="127"/>
    <n v="202"/>
    <n v="164.5"/>
    <x v="4"/>
    <n v="13"/>
  </r>
  <r>
    <s v="Market Data Analyst"/>
    <x v="0"/>
    <x v="2"/>
    <n v="3.4"/>
    <s v="West Palm Beach, FL"/>
    <x v="137"/>
    <x v="4"/>
    <x v="52"/>
    <n v="31"/>
    <n v="57"/>
    <n v="44"/>
    <x v="5"/>
    <n v="30"/>
  </r>
  <r>
    <s v="Software Engineer - Data Visualization"/>
    <x v="0"/>
    <x v="0"/>
    <n v="4"/>
    <s v="Annapolis Junction, MD"/>
    <x v="107"/>
    <x v="3"/>
    <x v="20"/>
    <n v="60"/>
    <n v="127"/>
    <n v="93.5"/>
    <x v="1"/>
    <n v="19"/>
  </r>
  <r>
    <s v="Data Engineer"/>
    <x v="0"/>
    <x v="3"/>
    <n v="4.4000000000000004"/>
    <s v="Herndon, VA"/>
    <x v="19"/>
    <x v="6"/>
    <x v="14"/>
    <n v="75"/>
    <n v="143"/>
    <n v="109"/>
    <x v="2"/>
    <n v="6"/>
  </r>
  <r>
    <s v="Staff Data Engineer"/>
    <x v="0"/>
    <x v="3"/>
    <n v="3.8"/>
    <s v="Austin, TX"/>
    <x v="123"/>
    <x v="0"/>
    <x v="20"/>
    <n v="105"/>
    <n v="194"/>
    <n v="149.5"/>
    <x v="3"/>
    <n v="11"/>
  </r>
  <r>
    <s v="Associate Data Engineer"/>
    <x v="2"/>
    <x v="3"/>
    <n v="3.5"/>
    <s v="Washington, DC"/>
    <x v="32"/>
    <x v="2"/>
    <x v="10"/>
    <n v="45"/>
    <n v="86"/>
    <n v="65.5"/>
    <x v="0"/>
    <n v="14"/>
  </r>
  <r>
    <s v="Senior Data Scientist"/>
    <x v="1"/>
    <x v="0"/>
    <n v="3.5"/>
    <s v="Charlotte, NC"/>
    <x v="70"/>
    <x v="2"/>
    <x v="15"/>
    <n v="95"/>
    <n v="154"/>
    <n v="124.5"/>
    <x v="2"/>
    <n v="4"/>
  </r>
  <r>
    <s v="Staff BI and Data Engineer"/>
    <x v="0"/>
    <x v="3"/>
    <n v="2.9"/>
    <s v="San Jose, CA"/>
    <x v="7"/>
    <x v="3"/>
    <x v="4"/>
    <n v="80"/>
    <n v="148"/>
    <n v="114"/>
    <x v="2"/>
    <n v="23"/>
  </r>
  <r>
    <s v="Marketing Data Analyst"/>
    <x v="0"/>
    <x v="2"/>
    <n v="3.9"/>
    <s v="Exton, PA"/>
    <x v="138"/>
    <x v="0"/>
    <x v="6"/>
    <n v="36"/>
    <n v="62"/>
    <n v="49"/>
    <x v="5"/>
    <n v="84"/>
  </r>
  <r>
    <s v="Principal Scientist, Hematology"/>
    <x v="1"/>
    <x v="0"/>
    <n v="3.3"/>
    <s v="Rochester, NY"/>
    <x v="8"/>
    <x v="1"/>
    <x v="1"/>
    <n v="54"/>
    <n v="115"/>
    <n v="84.5"/>
    <x v="1"/>
    <n v="7"/>
  </r>
  <r>
    <s v="Data Analyst"/>
    <x v="0"/>
    <x v="2"/>
    <n v="3.7"/>
    <s v="Alexandria, VA"/>
    <x v="139"/>
    <x v="0"/>
    <x v="19"/>
    <n v="50"/>
    <n v="92"/>
    <n v="71"/>
    <x v="0"/>
    <n v="32"/>
  </r>
  <r>
    <s v="Director - Data, Privacy and AI Governance"/>
    <x v="3"/>
    <x v="5"/>
    <n v="3.6"/>
    <s v="Boston, MA"/>
    <x v="38"/>
    <x v="5"/>
    <x v="15"/>
    <n v="67"/>
    <n v="135"/>
    <n v="101"/>
    <x v="2"/>
    <n v="170"/>
  </r>
  <r>
    <s v="Data Scientist"/>
    <x v="0"/>
    <x v="0"/>
    <n v="3.5"/>
    <s v="Redlands, CA"/>
    <x v="26"/>
    <x v="2"/>
    <x v="20"/>
    <n v="82"/>
    <n v="132"/>
    <n v="107"/>
    <x v="2"/>
    <n v="52"/>
  </r>
  <r>
    <s v="Data Scientist"/>
    <x v="0"/>
    <x v="0"/>
    <n v="4.7"/>
    <s v="Ipswich, MA"/>
    <x v="25"/>
    <x v="4"/>
    <x v="12"/>
    <n v="85"/>
    <n v="140"/>
    <n v="112.5"/>
    <x v="2"/>
    <n v="47"/>
  </r>
  <r>
    <s v="Staff Machine Learning Engineer"/>
    <x v="0"/>
    <x v="4"/>
    <n v="3.9"/>
    <s v="San Francisco, CA"/>
    <x v="15"/>
    <x v="4"/>
    <x v="8"/>
    <n v="138"/>
    <n v="224"/>
    <n v="181"/>
    <x v="4"/>
    <n v="14"/>
  </r>
  <r>
    <s v="Information Security Data Analyst"/>
    <x v="0"/>
    <x v="2"/>
    <n v="3.7"/>
    <s v="Chicago, IL"/>
    <x v="17"/>
    <x v="1"/>
    <x v="20"/>
    <n v="42"/>
    <n v="80"/>
    <n v="61"/>
    <x v="0"/>
    <n v="93"/>
  </r>
  <r>
    <s v="Lead Data Engineer"/>
    <x v="1"/>
    <x v="3"/>
    <n v="4.0999999999999996"/>
    <s v="Mountain View, CA"/>
    <x v="14"/>
    <x v="3"/>
    <x v="8"/>
    <n v="190"/>
    <n v="220"/>
    <n v="205"/>
    <x v="4"/>
    <n v="11"/>
  </r>
  <r>
    <s v="Scientist Manufacturing - Kentucky BioProcessing"/>
    <x v="0"/>
    <x v="0"/>
    <n v="3.1"/>
    <s v="Owensboro, KY"/>
    <x v="140"/>
    <x v="5"/>
    <x v="22"/>
    <n v="68"/>
    <n v="139"/>
    <n v="103.5"/>
    <x v="2"/>
    <n v="146"/>
  </r>
  <r>
    <s v="Data Analytics Project Manager"/>
    <x v="3"/>
    <x v="6"/>
    <n v="3.6"/>
    <s v="Springfield, MA"/>
    <x v="102"/>
    <x v="5"/>
    <x v="15"/>
    <n v="34"/>
    <n v="92"/>
    <n v="63"/>
    <x v="0"/>
    <n v="170"/>
  </r>
  <r>
    <s v="Consultant - Analytics Consulting"/>
    <x v="0"/>
    <x v="0"/>
    <n v="3"/>
    <s v="Hartford, CT"/>
    <x v="141"/>
    <x v="1"/>
    <x v="19"/>
    <n v="54"/>
    <n v="71"/>
    <n v="62.5"/>
    <x v="0"/>
    <n v="40"/>
  </r>
  <r>
    <s v="Data Engineer"/>
    <x v="0"/>
    <x v="3"/>
    <n v="3.5"/>
    <s v="Orange, CA"/>
    <x v="142"/>
    <x v="0"/>
    <x v="1"/>
    <n v="65"/>
    <n v="124"/>
    <n v="94.5"/>
    <x v="1"/>
    <n v="8"/>
  </r>
  <r>
    <s v="Marketing Data Analyst"/>
    <x v="0"/>
    <x v="2"/>
    <n v="3.6"/>
    <s v="Highland, CA"/>
    <x v="108"/>
    <x v="2"/>
    <x v="43"/>
    <n v="35"/>
    <n v="62"/>
    <n v="48.5"/>
    <x v="5"/>
    <n v="35"/>
  </r>
  <r>
    <s v="Senior Scientist (Neuroscience)"/>
    <x v="1"/>
    <x v="0"/>
    <n v="3.5"/>
    <s v="Marlborough, MA"/>
    <x v="30"/>
    <x v="2"/>
    <x v="12"/>
    <n v="109"/>
    <n v="200"/>
    <n v="154.5"/>
    <x v="4"/>
    <n v="11"/>
  </r>
  <r>
    <s v="Medical Laboratory Scientist"/>
    <x v="0"/>
    <x v="0"/>
    <n v="4"/>
    <s v="Burleson, TX"/>
    <x v="109"/>
    <x v="2"/>
    <x v="1"/>
    <n v="37"/>
    <n v="52"/>
    <n v="44.5"/>
    <x v="5"/>
    <n v="44"/>
  </r>
  <r>
    <s v="Machine Learning Engineer - Regulatory"/>
    <x v="0"/>
    <x v="4"/>
    <n v="3.7"/>
    <s v="Lenexa, KS"/>
    <x v="143"/>
    <x v="0"/>
    <x v="53"/>
    <n v="61"/>
    <n v="113"/>
    <n v="87"/>
    <x v="1"/>
    <n v="48"/>
  </r>
  <r>
    <s v="R&amp;D Specialist/ Food Scientist"/>
    <x v="0"/>
    <x v="0"/>
    <n v="2.4"/>
    <s v="Hoopeston, IL"/>
    <x v="110"/>
    <x v="0"/>
    <x v="44"/>
    <n v="39"/>
    <n v="66"/>
    <n v="52.5"/>
    <x v="0"/>
    <n v="-1"/>
  </r>
  <r>
    <s v="Data Engineer"/>
    <x v="0"/>
    <x v="3"/>
    <n v="3.2"/>
    <s v="New York, NY"/>
    <x v="4"/>
    <x v="0"/>
    <x v="10"/>
    <n v="43"/>
    <n v="86"/>
    <n v="64.5"/>
    <x v="0"/>
    <n v="18"/>
  </r>
  <r>
    <s v="Scientist, Bacteriology"/>
    <x v="0"/>
    <x v="0"/>
    <n v="2.1"/>
    <s v="Concord, CA"/>
    <x v="144"/>
    <x v="4"/>
    <x v="12"/>
    <n v="74"/>
    <n v="149"/>
    <n v="111.5"/>
    <x v="2"/>
    <n v="-1"/>
  </r>
  <r>
    <s v="Associate Director, Platform and DevOps- Data Engineering and Aritifical Intelligence"/>
    <x v="2"/>
    <x v="3"/>
    <n v="3.7"/>
    <s v="Cambridge, MA"/>
    <x v="12"/>
    <x v="1"/>
    <x v="12"/>
    <n v="113"/>
    <n v="196"/>
    <n v="154.5"/>
    <x v="4"/>
    <n v="240"/>
  </r>
  <r>
    <s v="Senior Research Scientist-Machine Learning"/>
    <x v="1"/>
    <x v="4"/>
    <n v="2.6"/>
    <s v="Pittsburgh, PA"/>
    <x v="54"/>
    <x v="0"/>
    <x v="40"/>
    <n v="81"/>
    <n v="167"/>
    <n v="124"/>
    <x v="2"/>
    <n v="37"/>
  </r>
  <r>
    <s v="Senior Data Scientist"/>
    <x v="1"/>
    <x v="0"/>
    <n v="4.4000000000000004"/>
    <s v="Chicago, IL"/>
    <x v="17"/>
    <x v="4"/>
    <x v="7"/>
    <n v="97"/>
    <n v="160"/>
    <n v="128.5"/>
    <x v="3"/>
    <n v="13"/>
  </r>
  <r>
    <s v="Clinical Laboratory Scientist"/>
    <x v="0"/>
    <x v="0"/>
    <n v="3.7"/>
    <s v="Vail, CO"/>
    <x v="145"/>
    <x v="0"/>
    <x v="1"/>
    <n v="49"/>
    <n v="81"/>
    <n v="65"/>
    <x v="0"/>
    <n v="55"/>
  </r>
  <r>
    <s v="Analytics Manager - Data Mart"/>
    <x v="3"/>
    <x v="6"/>
    <n v="3.5"/>
    <s v="Scotts Valley, CA"/>
    <x v="111"/>
    <x v="0"/>
    <x v="1"/>
    <n v="42"/>
    <n v="86"/>
    <n v="64"/>
    <x v="0"/>
    <n v="25"/>
  </r>
  <r>
    <s v="Sr. Data Engineer - Contract-to-Hire (Java)"/>
    <x v="1"/>
    <x v="3"/>
    <n v="3"/>
    <s v="Knoxville, TN"/>
    <x v="112"/>
    <x v="1"/>
    <x v="45"/>
    <n v="69"/>
    <n v="127"/>
    <n v="98"/>
    <x v="1"/>
    <n v="63"/>
  </r>
  <r>
    <s v="Data Scientist - Algorithms &amp; Inference"/>
    <x v="0"/>
    <x v="0"/>
    <n v="4.2"/>
    <s v="San Francisco, CA"/>
    <x v="15"/>
    <x v="3"/>
    <x v="14"/>
    <n v="110"/>
    <n v="175"/>
    <n v="142.5"/>
    <x v="3"/>
    <n v="11"/>
  </r>
  <r>
    <s v="Senior Data Scientist - R&amp;D Oncology"/>
    <x v="1"/>
    <x v="0"/>
    <n v="3.9"/>
    <s v="New York, NY"/>
    <x v="4"/>
    <x v="1"/>
    <x v="12"/>
    <n v="102"/>
    <n v="172"/>
    <n v="137"/>
    <x v="3"/>
    <n v="108"/>
  </r>
  <r>
    <s v="Data Engineer"/>
    <x v="0"/>
    <x v="3"/>
    <n v="4"/>
    <s v="Denver, CO"/>
    <x v="16"/>
    <x v="0"/>
    <x v="15"/>
    <n v="74"/>
    <n v="124"/>
    <n v="99"/>
    <x v="1"/>
    <n v="106"/>
  </r>
  <r>
    <s v="Food Scientist - Developer"/>
    <x v="0"/>
    <x v="0"/>
    <n v="3.3"/>
    <s v="Milwaukee, WI"/>
    <x v="66"/>
    <x v="0"/>
    <x v="44"/>
    <n v="40"/>
    <n v="68"/>
    <n v="54"/>
    <x v="0"/>
    <n v="57"/>
  </r>
  <r>
    <s v="Senior Data Scientist"/>
    <x v="1"/>
    <x v="0"/>
    <n v="4.4000000000000004"/>
    <s v="Natick, MA"/>
    <x v="146"/>
    <x v="2"/>
    <x v="20"/>
    <n v="108"/>
    <n v="171"/>
    <n v="139.5"/>
    <x v="3"/>
    <n v="37"/>
  </r>
  <r>
    <s v="Data Engineer"/>
    <x v="0"/>
    <x v="3"/>
    <n v="3.4"/>
    <s v="Rockville, MD"/>
    <x v="76"/>
    <x v="4"/>
    <x v="19"/>
    <n v="76"/>
    <n v="142"/>
    <n v="109"/>
    <x v="2"/>
    <n v="22"/>
  </r>
  <r>
    <s v="Director II, Data Science - GRM Actuarial"/>
    <x v="3"/>
    <x v="5"/>
    <n v="3.3"/>
    <s v="Chicago, IL"/>
    <x v="17"/>
    <x v="1"/>
    <x v="15"/>
    <n v="202"/>
    <n v="306"/>
    <n v="254"/>
    <x v="4"/>
    <n v="109"/>
  </r>
  <r>
    <s v="Scientist, Molecular/Cellular Biologist"/>
    <x v="0"/>
    <x v="0"/>
    <n v="2.9"/>
    <s v="South San Francisco, CA"/>
    <x v="91"/>
    <x v="4"/>
    <x v="12"/>
    <n v="49"/>
    <n v="97"/>
    <n v="73"/>
    <x v="0"/>
    <n v="9"/>
  </r>
  <r>
    <s v="Staff Scientist-Downstream Process Development"/>
    <x v="0"/>
    <x v="0"/>
    <n v="2.7"/>
    <s v="Rockville, MD"/>
    <x v="76"/>
    <x v="4"/>
    <x v="12"/>
    <n v="49"/>
    <n v="113"/>
    <n v="81"/>
    <x v="1"/>
    <n v="60"/>
  </r>
  <r>
    <s v="MED TECH/LAB SCIENTIST- SOUTH COASTAL LAB"/>
    <x v="0"/>
    <x v="0"/>
    <n v="3.6"/>
    <s v="Millville, DE"/>
    <x v="113"/>
    <x v="2"/>
    <x v="1"/>
    <n v="43"/>
    <n v="70"/>
    <n v="56.5"/>
    <x v="0"/>
    <n v="86"/>
  </r>
  <r>
    <s v="Scientist - Analytical Services"/>
    <x v="0"/>
    <x v="0"/>
    <n v="3.1"/>
    <s v="Winston-Salem, NC"/>
    <x v="147"/>
    <x v="5"/>
    <x v="22"/>
    <n v="65"/>
    <n v="134"/>
    <n v="99.5"/>
    <x v="1"/>
    <n v="146"/>
  </r>
  <r>
    <s v="Associate Data Analyst- Graduate Development Program"/>
    <x v="2"/>
    <x v="2"/>
    <n v="3.3"/>
    <s v="Richfield, OH"/>
    <x v="148"/>
    <x v="0"/>
    <x v="15"/>
    <n v="32"/>
    <n v="59"/>
    <n v="45.5"/>
    <x v="5"/>
    <n v="32"/>
  </r>
  <r>
    <s v="Sr. Data Engineer"/>
    <x v="1"/>
    <x v="3"/>
    <n v="4.5"/>
    <s v="Indianapolis, IN"/>
    <x v="50"/>
    <x v="3"/>
    <x v="7"/>
    <n v="87"/>
    <n v="158"/>
    <n v="122.5"/>
    <x v="2"/>
    <n v="25"/>
  </r>
  <r>
    <s v="Senior Insurance Data Scientist"/>
    <x v="1"/>
    <x v="0"/>
    <n v="3.9"/>
    <s v="Chicago, IL"/>
    <x v="17"/>
    <x v="5"/>
    <x v="30"/>
    <n v="107"/>
    <n v="173"/>
    <n v="140"/>
    <x v="3"/>
    <n v="53"/>
  </r>
  <r>
    <s v="Senior Data Science Systems Engineer"/>
    <x v="1"/>
    <x v="0"/>
    <n v="3.2"/>
    <s v="Hampton, VA"/>
    <x v="149"/>
    <x v="5"/>
    <x v="31"/>
    <n v="56"/>
    <n v="99"/>
    <n v="77.5"/>
    <x v="1"/>
    <n v="63"/>
  </r>
  <r>
    <s v="ENVIRONMENTAL ENGINEER/SCIENTIST"/>
    <x v="0"/>
    <x v="0"/>
    <n v="3.3"/>
    <s v="Cambridge, MA"/>
    <x v="12"/>
    <x v="6"/>
    <x v="54"/>
    <n v="52"/>
    <n v="58"/>
    <n v="55"/>
    <x v="0"/>
    <n v="45"/>
  </r>
  <r>
    <s v="Senior Scientist - Regulatory Submissions"/>
    <x v="1"/>
    <x v="0"/>
    <n v="3.1"/>
    <s v="Winston-Salem, NC"/>
    <x v="147"/>
    <x v="5"/>
    <x v="22"/>
    <n v="80"/>
    <n v="155"/>
    <n v="117.5"/>
    <x v="2"/>
    <n v="146"/>
  </r>
  <r>
    <s v="Scientist - Biomarker and Flow Cytometry"/>
    <x v="0"/>
    <x v="0"/>
    <n v="2.4"/>
    <s v="San Diego, CA"/>
    <x v="41"/>
    <x v="0"/>
    <x v="12"/>
    <n v="43"/>
    <n v="98"/>
    <n v="70.5"/>
    <x v="0"/>
    <n v="15"/>
  </r>
  <r>
    <s v="Revenue Analytics Manager"/>
    <x v="3"/>
    <x v="6"/>
    <n v="4.8"/>
    <s v="San Francisco, CA"/>
    <x v="15"/>
    <x v="3"/>
    <x v="20"/>
    <n v="45"/>
    <n v="78"/>
    <n v="61.5"/>
    <x v="0"/>
    <n v="10"/>
  </r>
  <r>
    <s v="Associate Scientist, LC/MS Biologics"/>
    <x v="2"/>
    <x v="0"/>
    <n v="2.9"/>
    <s v="Ithaca, NY"/>
    <x v="150"/>
    <x v="2"/>
    <x v="12"/>
    <n v="44"/>
    <n v="96"/>
    <n v="70"/>
    <x v="0"/>
    <n v="6"/>
  </r>
  <r>
    <s v="Sr. Scientist Method Development"/>
    <x v="1"/>
    <x v="0"/>
    <n v="2.9"/>
    <s v="Marietta, GA"/>
    <x v="151"/>
    <x v="2"/>
    <x v="12"/>
    <n v="50"/>
    <n v="110"/>
    <n v="80"/>
    <x v="1"/>
    <n v="6"/>
  </r>
  <r>
    <s v="IT - Data Engineer II"/>
    <x v="0"/>
    <x v="3"/>
    <n v="3.4"/>
    <s v="Quincy, MA"/>
    <x v="152"/>
    <x v="2"/>
    <x v="15"/>
    <n v="61"/>
    <n v="119"/>
    <n v="90"/>
    <x v="1"/>
    <n v="33"/>
  </r>
  <r>
    <s v="Research Scientist, Immunology - Cancer Biology"/>
    <x v="0"/>
    <x v="1"/>
    <n v="-1"/>
    <s v="Cambridge, MA"/>
    <x v="12"/>
    <x v="7"/>
    <x v="21"/>
    <n v="100"/>
    <n v="140"/>
    <n v="120"/>
    <x v="2"/>
    <n v="-1"/>
  </r>
  <r>
    <s v="Project Scientist - Auton Lab, Robotics Institute"/>
    <x v="0"/>
    <x v="0"/>
    <n v="2.6"/>
    <s v="Pittsburgh, PA"/>
    <x v="54"/>
    <x v="0"/>
    <x v="40"/>
    <n v="56"/>
    <n v="91"/>
    <n v="73.5"/>
    <x v="0"/>
    <n v="37"/>
  </r>
  <r>
    <s v="Data Scientist"/>
    <x v="0"/>
    <x v="0"/>
    <n v="3.8"/>
    <s v="Fort Lauderdale, FL"/>
    <x v="37"/>
    <x v="0"/>
    <x v="4"/>
    <n v="68"/>
    <n v="114"/>
    <n v="91"/>
    <x v="1"/>
    <n v="37"/>
  </r>
  <r>
    <s v="Data Scientist"/>
    <x v="0"/>
    <x v="0"/>
    <n v="5"/>
    <s v="Washington, DC"/>
    <x v="32"/>
    <x v="7"/>
    <x v="14"/>
    <n v="150"/>
    <n v="160"/>
    <n v="155"/>
    <x v="4"/>
    <n v="-1"/>
  </r>
  <r>
    <s v="Enterprise Architect, Data"/>
    <x v="0"/>
    <x v="0"/>
    <n v="3.6"/>
    <s v="Boston, MA"/>
    <x v="38"/>
    <x v="5"/>
    <x v="15"/>
    <n v="101"/>
    <n v="158"/>
    <n v="129.5"/>
    <x v="3"/>
    <n v="170"/>
  </r>
  <r>
    <s v="Senior Manager, Epidemiologic Data Scientist"/>
    <x v="1"/>
    <x v="6"/>
    <n v="4"/>
    <s v="New York, NY"/>
    <x v="4"/>
    <x v="1"/>
    <x v="12"/>
    <n v="125"/>
    <n v="210"/>
    <n v="167.5"/>
    <x v="4"/>
    <n v="172"/>
  </r>
  <r>
    <s v="Corporate Risk Data Analyst (SQL Based) - Milwaukee or"/>
    <x v="0"/>
    <x v="2"/>
    <n v="3.8"/>
    <s v="Green Bay, WI"/>
    <x v="153"/>
    <x v="2"/>
    <x v="6"/>
    <n v="43"/>
    <n v="77"/>
    <n v="60"/>
    <x v="0"/>
    <n v="151"/>
  </r>
  <r>
    <s v="Lead Data Scientist"/>
    <x v="1"/>
    <x v="0"/>
    <n v="3.9"/>
    <s v="Burbank, CA"/>
    <x v="103"/>
    <x v="3"/>
    <x v="30"/>
    <n v="139"/>
    <n v="221"/>
    <n v="180"/>
    <x v="4"/>
    <n v="12"/>
  </r>
  <r>
    <s v="Marketing Data Analyst, May 2020 Undergrad"/>
    <x v="0"/>
    <x v="2"/>
    <n v="3.8"/>
    <s v="New York, NY"/>
    <x v="4"/>
    <x v="2"/>
    <x v="38"/>
    <n v="44"/>
    <n v="86"/>
    <n v="65"/>
    <x v="0"/>
    <n v="19"/>
  </r>
  <r>
    <s v="Senior Data Engineer"/>
    <x v="1"/>
    <x v="3"/>
    <n v="4.3"/>
    <s v="Durham, NC"/>
    <x v="154"/>
    <x v="5"/>
    <x v="20"/>
    <n v="78"/>
    <n v="147"/>
    <n v="112.5"/>
    <x v="2"/>
    <n v="31"/>
  </r>
  <r>
    <s v="Senior Data Analyst"/>
    <x v="1"/>
    <x v="2"/>
    <n v="1.9"/>
    <s v="New York, NY"/>
    <x v="4"/>
    <x v="4"/>
    <x v="11"/>
    <n v="65"/>
    <n v="110"/>
    <n v="87.5"/>
    <x v="1"/>
    <n v="11"/>
  </r>
  <r>
    <s v="Data Modeler - Data Solutions Engineer"/>
    <x v="0"/>
    <x v="0"/>
    <n v="3.3"/>
    <s v="Indianapolis, IN"/>
    <x v="50"/>
    <x v="1"/>
    <x v="15"/>
    <n v="37"/>
    <n v="66"/>
    <n v="51.5"/>
    <x v="0"/>
    <n v="109"/>
  </r>
  <r>
    <s v="Associate Environmental Scientist - Wildlife Biologist"/>
    <x v="2"/>
    <x v="0"/>
    <n v="4.7"/>
    <s v="Clovis, CA"/>
    <x v="155"/>
    <x v="3"/>
    <x v="36"/>
    <n v="38"/>
    <n v="64"/>
    <n v="51"/>
    <x v="0"/>
    <n v="49"/>
  </r>
  <r>
    <s v="Associate, Data Science, Internal Audit"/>
    <x v="2"/>
    <x v="0"/>
    <n v="3.1"/>
    <s v="Boston, MA"/>
    <x v="38"/>
    <x v="1"/>
    <x v="6"/>
    <n v="43"/>
    <n v="82"/>
    <n v="62.5"/>
    <x v="0"/>
    <n v="165"/>
  </r>
  <r>
    <s v="Sr Data Engineer (Sr BI Developer)"/>
    <x v="1"/>
    <x v="3"/>
    <n v="3.4"/>
    <s v="Chandler, AZ"/>
    <x v="156"/>
    <x v="0"/>
    <x v="1"/>
    <n v="90"/>
    <n v="110"/>
    <n v="100"/>
    <x v="2"/>
    <n v="40"/>
  </r>
  <r>
    <s v="Data Engineer"/>
    <x v="0"/>
    <x v="3"/>
    <n v="4.4000000000000004"/>
    <s v="Chantilly, VA"/>
    <x v="9"/>
    <x v="3"/>
    <x v="19"/>
    <n v="61"/>
    <n v="109"/>
    <n v="85"/>
    <x v="1"/>
    <n v="17"/>
  </r>
  <r>
    <s v="Senior LiDAR Data Scientist"/>
    <x v="1"/>
    <x v="0"/>
    <n v="3.9"/>
    <s v="Orlando, FL"/>
    <x v="157"/>
    <x v="4"/>
    <x v="20"/>
    <n v="93"/>
    <n v="151"/>
    <n v="122"/>
    <x v="2"/>
    <n v="9"/>
  </r>
  <r>
    <s v="Salesforce Analytics Consultant"/>
    <x v="0"/>
    <x v="0"/>
    <n v="3.9"/>
    <s v="Chicago, IL"/>
    <x v="17"/>
    <x v="0"/>
    <x v="14"/>
    <n v="52"/>
    <n v="81"/>
    <n v="66.5"/>
    <x v="0"/>
    <n v="26"/>
  </r>
  <r>
    <s v="Technology-Minded, Data Professional Opportunities"/>
    <x v="0"/>
    <x v="0"/>
    <n v="4.7"/>
    <s v="Columbia, MO"/>
    <x v="134"/>
    <x v="2"/>
    <x v="42"/>
    <n v="40"/>
    <n v="101"/>
    <n v="70.5"/>
    <x v="0"/>
    <n v="19"/>
  </r>
  <r>
    <s v="Senior Data Engineer"/>
    <x v="1"/>
    <x v="3"/>
    <n v="4.7"/>
    <s v="Austin, TX"/>
    <x v="123"/>
    <x v="3"/>
    <x v="2"/>
    <n v="97"/>
    <n v="180"/>
    <n v="138.5"/>
    <x v="3"/>
    <n v="11"/>
  </r>
  <r>
    <s v="Managing Data Scientist/ML Engineer"/>
    <x v="0"/>
    <x v="0"/>
    <n v="3.4"/>
    <s v="Boston, MA"/>
    <x v="38"/>
    <x v="2"/>
    <x v="7"/>
    <n v="81"/>
    <n v="134"/>
    <n v="107.5"/>
    <x v="2"/>
    <n v="78"/>
  </r>
  <r>
    <s v="Scientist, Pharmacometrics"/>
    <x v="0"/>
    <x v="0"/>
    <n v="3.8"/>
    <s v="Cambridge, MA"/>
    <x v="12"/>
    <x v="0"/>
    <x v="12"/>
    <n v="84"/>
    <n v="157"/>
    <n v="120.5"/>
    <x v="2"/>
    <n v="13"/>
  </r>
  <r>
    <s v="Staff Scientist- Upstream PD"/>
    <x v="0"/>
    <x v="0"/>
    <n v="2.7"/>
    <s v="Rockville, MD"/>
    <x v="76"/>
    <x v="4"/>
    <x v="12"/>
    <n v="49"/>
    <n v="113"/>
    <n v="81"/>
    <x v="1"/>
    <n v="60"/>
  </r>
  <r>
    <s v="Scientist Manufacturing Pharma - Kentucky BioProcessing"/>
    <x v="0"/>
    <x v="0"/>
    <n v="3.1"/>
    <s v="Owensboro, KY"/>
    <x v="140"/>
    <x v="5"/>
    <x v="22"/>
    <n v="68"/>
    <n v="139"/>
    <n v="103.5"/>
    <x v="2"/>
    <n v="146"/>
  </r>
  <r>
    <s v="Sr. Data Engineer"/>
    <x v="1"/>
    <x v="3"/>
    <n v="3.4"/>
    <s v="Chicago, IL"/>
    <x v="17"/>
    <x v="2"/>
    <x v="46"/>
    <n v="75"/>
    <n v="140"/>
    <n v="107.5"/>
    <x v="2"/>
    <n v="16"/>
  </r>
  <r>
    <s v="Lead Big Data Engineer"/>
    <x v="1"/>
    <x v="3"/>
    <n v="4"/>
    <s v="San Francisco, CA"/>
    <x v="15"/>
    <x v="2"/>
    <x v="8"/>
    <n v="121"/>
    <n v="203"/>
    <n v="162"/>
    <x v="4"/>
    <n v="14"/>
  </r>
  <r>
    <s v="Product Engineer â€“ Spatial Data Science and Statistical Analysis"/>
    <x v="0"/>
    <x v="0"/>
    <n v="3.5"/>
    <s v="Redlands, CA"/>
    <x v="26"/>
    <x v="2"/>
    <x v="20"/>
    <n v="52"/>
    <n v="85"/>
    <n v="68.5"/>
    <x v="0"/>
    <n v="52"/>
  </r>
  <r>
    <s v="Sr Software Engineer (Data Scientist)"/>
    <x v="1"/>
    <x v="0"/>
    <n v="3.4"/>
    <s v="Westlake, OH"/>
    <x v="158"/>
    <x v="1"/>
    <x v="15"/>
    <n v="81"/>
    <n v="140"/>
    <n v="110.5"/>
    <x v="2"/>
    <n v="43"/>
  </r>
  <r>
    <s v="College Hire - Data Scientist - Open to December 2019 Graduates"/>
    <x v="0"/>
    <x v="0"/>
    <n v="3.7"/>
    <s v="Peoria, IL"/>
    <x v="36"/>
    <x v="1"/>
    <x v="23"/>
    <n v="63"/>
    <n v="99"/>
    <n v="81"/>
    <x v="1"/>
    <n v="96"/>
  </r>
  <r>
    <s v="Senior Data Scientist"/>
    <x v="1"/>
    <x v="0"/>
    <n v="4.3"/>
    <s v="Chicago, IL"/>
    <x v="17"/>
    <x v="2"/>
    <x v="5"/>
    <n v="110"/>
    <n v="150"/>
    <n v="130"/>
    <x v="3"/>
    <n v="28"/>
  </r>
  <r>
    <s v="Sr. Data Engineer (ETL Developer)"/>
    <x v="1"/>
    <x v="3"/>
    <n v="3.7"/>
    <s v="Des Moines, IA"/>
    <x v="159"/>
    <x v="4"/>
    <x v="15"/>
    <n v="83"/>
    <n v="148"/>
    <n v="115.5"/>
    <x v="2"/>
    <n v="-1"/>
  </r>
  <r>
    <s v="Senior Data Scientist Artificial Intelligence"/>
    <x v="1"/>
    <x v="0"/>
    <n v="3.8"/>
    <s v="Richland, WA"/>
    <x v="3"/>
    <x v="2"/>
    <x v="3"/>
    <n v="60"/>
    <n v="101"/>
    <n v="80.5"/>
    <x v="1"/>
    <n v="56"/>
  </r>
  <r>
    <s v="Analytics - Business Assurance Data Analyst"/>
    <x v="0"/>
    <x v="2"/>
    <n v="4.5999999999999996"/>
    <s v="Cedar Rapids, IA"/>
    <x v="160"/>
    <x v="0"/>
    <x v="42"/>
    <n v="31"/>
    <n v="55"/>
    <n v="43"/>
    <x v="5"/>
    <n v="29"/>
  </r>
  <r>
    <s v="Associate Director/Director, Safety Scientist"/>
    <x v="2"/>
    <x v="5"/>
    <n v="4.4000000000000004"/>
    <s v="Cambridge, MA"/>
    <x v="12"/>
    <x v="4"/>
    <x v="12"/>
    <n v="102"/>
    <n v="178"/>
    <n v="140"/>
    <x v="3"/>
    <n v="18"/>
  </r>
  <r>
    <s v="Senior Scientist, Cell Pharmacology/Assay Development"/>
    <x v="1"/>
    <x v="0"/>
    <n v="-1"/>
    <s v="Cambridge, MA"/>
    <x v="12"/>
    <x v="7"/>
    <x v="21"/>
    <n v="110"/>
    <n v="130"/>
    <n v="120"/>
    <x v="2"/>
    <n v="-1"/>
  </r>
  <r>
    <s v="Data Analyst Senior"/>
    <x v="1"/>
    <x v="2"/>
    <n v="3"/>
    <s v="Philadelphia, PA"/>
    <x v="48"/>
    <x v="5"/>
    <x v="15"/>
    <n v="48"/>
    <n v="85"/>
    <n v="66.5"/>
    <x v="0"/>
    <n v="38"/>
  </r>
  <r>
    <s v="Lead Data Engineer (Python)"/>
    <x v="1"/>
    <x v="3"/>
    <n v="4.7"/>
    <s v="San Francisco, CA"/>
    <x v="15"/>
    <x v="3"/>
    <x v="27"/>
    <n v="66"/>
    <n v="123"/>
    <n v="94.5"/>
    <x v="1"/>
    <n v="15"/>
  </r>
  <r>
    <s v="Senior Data Scientist 4 Artificial Intelligence"/>
    <x v="1"/>
    <x v="0"/>
    <n v="3.8"/>
    <s v="Seattle, WA"/>
    <x v="11"/>
    <x v="2"/>
    <x v="3"/>
    <n v="92"/>
    <n v="146"/>
    <n v="119"/>
    <x v="2"/>
    <n v="56"/>
  </r>
  <r>
    <s v="Medical Lab Scientist - MLT"/>
    <x v="0"/>
    <x v="0"/>
    <n v="3.2"/>
    <s v="Omaha, NE"/>
    <x v="74"/>
    <x v="1"/>
    <x v="1"/>
    <n v="43"/>
    <n v="60"/>
    <n v="51.5"/>
    <x v="0"/>
    <n v="25"/>
  </r>
  <r>
    <s v="Senior Operations Data Analyst, Call Center Operations"/>
    <x v="1"/>
    <x v="2"/>
    <n v="2.7"/>
    <s v="Nashville, TN"/>
    <x v="120"/>
    <x v="5"/>
    <x v="25"/>
    <n v="20"/>
    <n v="35"/>
    <n v="27.5"/>
    <x v="5"/>
    <n v="21"/>
  </r>
  <r>
    <s v="Director II, Data Science - GRS Predictive Analytics"/>
    <x v="3"/>
    <x v="5"/>
    <n v="3.3"/>
    <s v="Chicago, IL"/>
    <x v="17"/>
    <x v="1"/>
    <x v="15"/>
    <n v="150"/>
    <n v="239"/>
    <n v="194.5"/>
    <x v="4"/>
    <n v="109"/>
  </r>
  <r>
    <s v="RESEARCH COMPUTER SCIENTIST - RESEARCH ENGINEER - SR. COMPUTER SCIENTIST - SOFTWARE DEVELOPMENT"/>
    <x v="1"/>
    <x v="1"/>
    <n v="3.9"/>
    <s v="San Antonio, TX"/>
    <x v="135"/>
    <x v="2"/>
    <x v="10"/>
    <n v="52"/>
    <n v="91"/>
    <n v="71.5"/>
    <x v="0"/>
    <n v="74"/>
  </r>
  <r>
    <s v="Geospatial Software Developer and Data Scientist"/>
    <x v="0"/>
    <x v="0"/>
    <n v="3.7"/>
    <s v="Austin, TX"/>
    <x v="123"/>
    <x v="0"/>
    <x v="40"/>
    <n v="82"/>
    <n v="129"/>
    <n v="105.5"/>
    <x v="2"/>
    <n v="-1"/>
  </r>
  <r>
    <s v="Senior Scientist - Toxicologist - Product Integrity (Stewardship)"/>
    <x v="1"/>
    <x v="0"/>
    <n v="3.1"/>
    <s v="Winston-Salem, NC"/>
    <x v="147"/>
    <x v="5"/>
    <x v="22"/>
    <n v="47"/>
    <n v="101"/>
    <n v="74"/>
    <x v="0"/>
    <n v="146"/>
  </r>
  <r>
    <s v="Systems Engineer II - Data Analyst"/>
    <x v="0"/>
    <x v="2"/>
    <n v="3.7"/>
    <s v="Huntsville, AL"/>
    <x v="39"/>
    <x v="1"/>
    <x v="0"/>
    <n v="49"/>
    <n v="76"/>
    <n v="62.5"/>
    <x v="0"/>
    <n v="99"/>
  </r>
  <r>
    <s v="Senior Research Analytical Scientist-Non-Targeted Analysis"/>
    <x v="1"/>
    <x v="1"/>
    <n v="4.3"/>
    <s v="Durham, NC"/>
    <x v="154"/>
    <x v="2"/>
    <x v="10"/>
    <n v="43"/>
    <n v="88"/>
    <n v="65.5"/>
    <x v="0"/>
    <n v="63"/>
  </r>
  <r>
    <s v="Director Data Science"/>
    <x v="3"/>
    <x v="5"/>
    <n v="3.6"/>
    <s v="Fort Lee, NJ"/>
    <x v="161"/>
    <x v="2"/>
    <x v="4"/>
    <n v="124"/>
    <n v="199"/>
    <n v="161.5"/>
    <x v="4"/>
    <n v="32"/>
  </r>
  <r>
    <s v="Sr Data Analyst - IT"/>
    <x v="1"/>
    <x v="2"/>
    <n v="2.1"/>
    <s v="Blue Bell, PA"/>
    <x v="162"/>
    <x v="2"/>
    <x v="12"/>
    <n v="52"/>
    <n v="93"/>
    <n v="72.5"/>
    <x v="0"/>
    <n v="18"/>
  </r>
  <r>
    <s v="Senior Data Engineer"/>
    <x v="1"/>
    <x v="3"/>
    <n v="3.9"/>
    <s v="San Francisco, CA"/>
    <x v="15"/>
    <x v="3"/>
    <x v="20"/>
    <n v="97"/>
    <n v="181"/>
    <n v="139"/>
    <x v="3"/>
    <n v="13"/>
  </r>
  <r>
    <s v="Senior Data Engineer"/>
    <x v="1"/>
    <x v="3"/>
    <n v="3.9"/>
    <s v="San Francisco, CA"/>
    <x v="15"/>
    <x v="4"/>
    <x v="8"/>
    <n v="100"/>
    <n v="173"/>
    <n v="136.5"/>
    <x v="3"/>
    <n v="14"/>
  </r>
  <r>
    <s v="Associate Machine Learning Engineer / Data Scientist May 2020 Undergrad"/>
    <x v="2"/>
    <x v="4"/>
    <n v="3.8"/>
    <s v="New York, NY"/>
    <x v="4"/>
    <x v="2"/>
    <x v="38"/>
    <n v="53"/>
    <n v="96"/>
    <n v="74.5"/>
    <x v="0"/>
    <n v="19"/>
  </r>
  <r>
    <s v="Senior Scientist - Biostatistician"/>
    <x v="1"/>
    <x v="0"/>
    <n v="3.1"/>
    <s v="Winston-Salem, NC"/>
    <x v="147"/>
    <x v="5"/>
    <x v="22"/>
    <n v="65"/>
    <n v="96"/>
    <n v="80.5"/>
    <x v="1"/>
    <n v="146"/>
  </r>
  <r>
    <s v="Data Scientist"/>
    <x v="0"/>
    <x v="0"/>
    <n v="3.5"/>
    <s v="Albuquerque, NM"/>
    <x v="0"/>
    <x v="5"/>
    <x v="12"/>
    <n v="56"/>
    <n v="95"/>
    <n v="75.5"/>
    <x v="1"/>
    <n v="151"/>
  </r>
  <r>
    <s v="Data Scientist"/>
    <x v="0"/>
    <x v="0"/>
    <n v="4.7"/>
    <s v="Saint Louis, MO"/>
    <x v="42"/>
    <x v="3"/>
    <x v="19"/>
    <n v="111"/>
    <n v="176"/>
    <n v="143.5"/>
    <x v="3"/>
    <n v="5"/>
  </r>
  <r>
    <s v="Data Scientist"/>
    <x v="0"/>
    <x v="0"/>
    <n v="5"/>
    <s v="Springfield, VA"/>
    <x v="102"/>
    <x v="3"/>
    <x v="0"/>
    <n v="75"/>
    <n v="127"/>
    <n v="101"/>
    <x v="2"/>
    <n v="7"/>
  </r>
  <r>
    <s v="Data Engineer"/>
    <x v="0"/>
    <x v="3"/>
    <n v="3.6"/>
    <s v="Springfield, MA"/>
    <x v="102"/>
    <x v="5"/>
    <x v="15"/>
    <n v="65"/>
    <n v="119"/>
    <n v="92"/>
    <x v="1"/>
    <n v="170"/>
  </r>
  <r>
    <s v="Computational Chemist/Data Scientist"/>
    <x v="0"/>
    <x v="0"/>
    <n v="3.8"/>
    <s v="Richland, WA"/>
    <x v="3"/>
    <x v="2"/>
    <x v="3"/>
    <n v="56"/>
    <n v="97"/>
    <n v="76.5"/>
    <x v="1"/>
    <n v="56"/>
  </r>
  <r>
    <s v="Principal Data Scientist (Computational Chemistry)"/>
    <x v="1"/>
    <x v="0"/>
    <n v="4.7"/>
    <s v="Salt Lake City, UT"/>
    <x v="105"/>
    <x v="3"/>
    <x v="12"/>
    <n v="108"/>
    <n v="173"/>
    <n v="140.5"/>
    <x v="3"/>
    <n v="8"/>
  </r>
  <r>
    <s v="Data Scientist"/>
    <x v="0"/>
    <x v="0"/>
    <n v="3.6"/>
    <s v="Jersey City, NJ"/>
    <x v="163"/>
    <x v="1"/>
    <x v="41"/>
    <n v="94"/>
    <n v="139"/>
    <n v="116.5"/>
    <x v="2"/>
    <n v="209"/>
  </r>
  <r>
    <s v="Principal Machine Learning Scientist"/>
    <x v="1"/>
    <x v="4"/>
    <n v="4.7"/>
    <s v="San Francisco, CA"/>
    <x v="15"/>
    <x v="0"/>
    <x v="20"/>
    <n v="176"/>
    <n v="289"/>
    <n v="232.5"/>
    <x v="4"/>
    <n v="22"/>
  </r>
  <r>
    <s v="Data Scientist"/>
    <x v="0"/>
    <x v="0"/>
    <n v="3.5"/>
    <s v="San Francisco, CA"/>
    <x v="15"/>
    <x v="3"/>
    <x v="14"/>
    <n v="92"/>
    <n v="149"/>
    <n v="120.5"/>
    <x v="2"/>
    <n v="5"/>
  </r>
  <r>
    <s v="Product Engineer â€“ Data Science"/>
    <x v="0"/>
    <x v="0"/>
    <n v="3.5"/>
    <s v="Arlington, VA"/>
    <x v="57"/>
    <x v="2"/>
    <x v="20"/>
    <n v="63"/>
    <n v="101"/>
    <n v="82"/>
    <x v="1"/>
    <n v="52"/>
  </r>
  <r>
    <s v="Principal Scientist, Chemistry &amp; Immunology"/>
    <x v="1"/>
    <x v="0"/>
    <n v="3.3"/>
    <s v="Rochester, NY"/>
    <x v="8"/>
    <x v="1"/>
    <x v="1"/>
    <n v="54"/>
    <n v="115"/>
    <n v="84.5"/>
    <x v="1"/>
    <n v="7"/>
  </r>
  <r>
    <s v="Data Scientist"/>
    <x v="0"/>
    <x v="0"/>
    <n v="2.7"/>
    <s v="Emeryville, CA"/>
    <x v="164"/>
    <x v="1"/>
    <x v="19"/>
    <n v="118"/>
    <n v="188"/>
    <n v="153"/>
    <x v="4"/>
    <n v="14"/>
  </r>
  <r>
    <s v="Data Scientist"/>
    <x v="0"/>
    <x v="0"/>
    <n v="3.4"/>
    <s v="Palo Alto, CA"/>
    <x v="44"/>
    <x v="0"/>
    <x v="8"/>
    <n v="108"/>
    <n v="146"/>
    <n v="127"/>
    <x v="3"/>
    <n v="13"/>
  </r>
  <r>
    <s v="Data Scientist"/>
    <x v="0"/>
    <x v="0"/>
    <n v="4.7"/>
    <s v="Santa Barbara, CA"/>
    <x v="165"/>
    <x v="3"/>
    <x v="20"/>
    <n v="65"/>
    <n v="106"/>
    <n v="85.5"/>
    <x v="1"/>
    <n v="11"/>
  </r>
  <r>
    <s v="Data Scientist"/>
    <x v="0"/>
    <x v="0"/>
    <n v="2.8"/>
    <s v="Carle Place, NY"/>
    <x v="166"/>
    <x v="2"/>
    <x v="28"/>
    <n v="55"/>
    <n v="98"/>
    <n v="76.5"/>
    <x v="1"/>
    <n v="45"/>
  </r>
  <r>
    <s v="Data Scientist"/>
    <x v="0"/>
    <x v="0"/>
    <n v="3.5"/>
    <s v="New York, NY"/>
    <x v="4"/>
    <x v="2"/>
    <x v="35"/>
    <n v="94"/>
    <n v="162"/>
    <n v="128"/>
    <x v="3"/>
    <n v="29"/>
  </r>
  <r>
    <s v="Data Engineer"/>
    <x v="0"/>
    <x v="3"/>
    <n v="3.2"/>
    <s v="King of Prussia, PA"/>
    <x v="167"/>
    <x v="6"/>
    <x v="27"/>
    <n v="63"/>
    <n v="120"/>
    <n v="91.5"/>
    <x v="1"/>
    <n v="-1"/>
  </r>
  <r>
    <s v="Scientist/Senior Scientist, Autoimmune"/>
    <x v="1"/>
    <x v="0"/>
    <n v="4.4000000000000004"/>
    <s v="Cambridge, MA"/>
    <x v="12"/>
    <x v="4"/>
    <x v="12"/>
    <n v="90"/>
    <n v="179"/>
    <n v="134.5"/>
    <x v="3"/>
    <n v="8"/>
  </r>
  <r>
    <s v="Data Scientist"/>
    <x v="0"/>
    <x v="0"/>
    <n v="3.3"/>
    <s v="San Francisco, CA"/>
    <x v="15"/>
    <x v="4"/>
    <x v="4"/>
    <n v="127"/>
    <n v="202"/>
    <n v="164.5"/>
    <x v="4"/>
    <n v="13"/>
  </r>
  <r>
    <s v="Software Engineer - Data Visualization"/>
    <x v="0"/>
    <x v="0"/>
    <n v="4"/>
    <s v="Annapolis Junction, MD"/>
    <x v="107"/>
    <x v="3"/>
    <x v="20"/>
    <n v="60"/>
    <n v="127"/>
    <n v="93.5"/>
    <x v="1"/>
    <n v="19"/>
  </r>
  <r>
    <s v="Market Data Analyst"/>
    <x v="0"/>
    <x v="2"/>
    <n v="3.4"/>
    <s v="West Palm Beach, FL"/>
    <x v="137"/>
    <x v="4"/>
    <x v="52"/>
    <n v="31"/>
    <n v="57"/>
    <n v="44"/>
    <x v="5"/>
    <n v="30"/>
  </r>
  <r>
    <s v="Staff Data Engineer"/>
    <x v="0"/>
    <x v="3"/>
    <n v="3.8"/>
    <s v="Austin, TX"/>
    <x v="123"/>
    <x v="0"/>
    <x v="20"/>
    <n v="105"/>
    <n v="194"/>
    <n v="149.5"/>
    <x v="3"/>
    <n v="11"/>
  </r>
  <r>
    <s v="Associate Data Engineer"/>
    <x v="2"/>
    <x v="3"/>
    <n v="3.5"/>
    <s v="Washington, DC"/>
    <x v="32"/>
    <x v="2"/>
    <x v="10"/>
    <n v="45"/>
    <n v="86"/>
    <n v="65.5"/>
    <x v="0"/>
    <n v="14"/>
  </r>
  <r>
    <s v="Data Engineer"/>
    <x v="0"/>
    <x v="3"/>
    <n v="4.4000000000000004"/>
    <s v="Herndon, VA"/>
    <x v="19"/>
    <x v="6"/>
    <x v="14"/>
    <n v="75"/>
    <n v="143"/>
    <n v="109"/>
    <x v="2"/>
    <n v="6"/>
  </r>
  <r>
    <s v="Staff Data Engineer"/>
    <x v="0"/>
    <x v="3"/>
    <n v="3.7"/>
    <s v="Mountain View, CA"/>
    <x v="14"/>
    <x v="2"/>
    <x v="20"/>
    <n v="126"/>
    <n v="228"/>
    <n v="177"/>
    <x v="4"/>
    <n v="33"/>
  </r>
  <r>
    <s v="Data Scientist"/>
    <x v="0"/>
    <x v="0"/>
    <n v="4.7"/>
    <s v="Arlington, VA"/>
    <x v="57"/>
    <x v="4"/>
    <x v="0"/>
    <n v="80"/>
    <n v="134"/>
    <n v="107"/>
    <x v="2"/>
    <n v="11"/>
  </r>
  <r>
    <s v="Data Scientist"/>
    <x v="0"/>
    <x v="0"/>
    <n v="4.0999999999999996"/>
    <s v="Santa Clara, CA"/>
    <x v="168"/>
    <x v="0"/>
    <x v="14"/>
    <n v="120"/>
    <n v="189"/>
    <n v="154.5"/>
    <x v="4"/>
    <n v="9"/>
  </r>
  <r>
    <s v="Data Scientist"/>
    <x v="0"/>
    <x v="0"/>
    <n v="4"/>
    <s v="Santa Clara, CA"/>
    <x v="168"/>
    <x v="6"/>
    <x v="55"/>
    <n v="85"/>
    <n v="142"/>
    <n v="113.5"/>
    <x v="2"/>
    <n v="-1"/>
  </r>
  <r>
    <s v="Senior Data Scientist"/>
    <x v="1"/>
    <x v="0"/>
    <n v="3.5"/>
    <s v="Charlotte, NC"/>
    <x v="70"/>
    <x v="2"/>
    <x v="15"/>
    <n v="95"/>
    <n v="154"/>
    <n v="124.5"/>
    <x v="2"/>
    <n v="4"/>
  </r>
  <r>
    <s v="Data Scientist"/>
    <x v="0"/>
    <x v="0"/>
    <n v="2.5"/>
    <s v="Brisbane, CA"/>
    <x v="169"/>
    <x v="6"/>
    <x v="12"/>
    <n v="111"/>
    <n v="176"/>
    <n v="143.5"/>
    <x v="3"/>
    <n v="-1"/>
  </r>
  <r>
    <s v="Data Scientist"/>
    <x v="0"/>
    <x v="0"/>
    <n v="3.9"/>
    <s v="San Francisco, CA"/>
    <x v="15"/>
    <x v="6"/>
    <x v="19"/>
    <n v="87"/>
    <n v="140"/>
    <n v="113.5"/>
    <x v="2"/>
    <n v="-1"/>
  </r>
  <r>
    <s v="Data Scientist"/>
    <x v="0"/>
    <x v="0"/>
    <n v="3.4"/>
    <s v="Springfield, VA"/>
    <x v="102"/>
    <x v="1"/>
    <x v="0"/>
    <n v="76"/>
    <n v="127"/>
    <n v="101.5"/>
    <x v="2"/>
    <n v="52"/>
  </r>
  <r>
    <s v="Data Analyst, Performance Partnership"/>
    <x v="0"/>
    <x v="2"/>
    <n v="3.6"/>
    <s v="New York, NY"/>
    <x v="4"/>
    <x v="1"/>
    <x v="56"/>
    <n v="54"/>
    <n v="92"/>
    <n v="73"/>
    <x v="0"/>
    <n v="86"/>
  </r>
  <r>
    <s v="Data Scientist"/>
    <x v="0"/>
    <x v="0"/>
    <n v="3.5"/>
    <s v="New York, NY"/>
    <x v="4"/>
    <x v="1"/>
    <x v="7"/>
    <n v="61"/>
    <n v="100"/>
    <n v="80.5"/>
    <x v="1"/>
    <n v="5"/>
  </r>
  <r>
    <s v="Data Scientist"/>
    <x v="0"/>
    <x v="0"/>
    <n v="-1"/>
    <s v="New York, NY"/>
    <x v="4"/>
    <x v="7"/>
    <x v="21"/>
    <n v="81"/>
    <n v="140"/>
    <n v="110.5"/>
    <x v="2"/>
    <n v="-1"/>
  </r>
  <r>
    <s v="Staff BI and Data Engineer"/>
    <x v="0"/>
    <x v="3"/>
    <n v="2.9"/>
    <s v="San Jose, CA"/>
    <x v="7"/>
    <x v="3"/>
    <x v="4"/>
    <n v="80"/>
    <n v="148"/>
    <n v="114"/>
    <x v="2"/>
    <n v="23"/>
  </r>
  <r>
    <s v="Data Scientist"/>
    <x v="0"/>
    <x v="0"/>
    <n v="3.5"/>
    <s v="Foster City, CA"/>
    <x v="170"/>
    <x v="3"/>
    <x v="57"/>
    <n v="108"/>
    <n v="171"/>
    <n v="139.5"/>
    <x v="3"/>
    <n v="-1"/>
  </r>
  <r>
    <s v="Data Scientist"/>
    <x v="0"/>
    <x v="0"/>
    <n v="4.8"/>
    <s v="New York, NY"/>
    <x v="4"/>
    <x v="6"/>
    <x v="19"/>
    <n v="112"/>
    <n v="179"/>
    <n v="145.5"/>
    <x v="3"/>
    <n v="10"/>
  </r>
  <r>
    <s v="Data Scientist"/>
    <x v="0"/>
    <x v="0"/>
    <n v="4"/>
    <s v="New York, NY"/>
    <x v="4"/>
    <x v="4"/>
    <x v="42"/>
    <n v="63"/>
    <n v="111"/>
    <n v="87"/>
    <x v="1"/>
    <n v="14"/>
  </r>
  <r>
    <s v="Data Scientist"/>
    <x v="0"/>
    <x v="0"/>
    <n v="4.2"/>
    <s v="Holyoke, MA"/>
    <x v="171"/>
    <x v="4"/>
    <x v="6"/>
    <n v="75"/>
    <n v="126"/>
    <n v="100.5"/>
    <x v="2"/>
    <n v="136"/>
  </r>
  <r>
    <s v="Data Scientist Manager"/>
    <x v="3"/>
    <x v="6"/>
    <n v="3.8"/>
    <s v="New York, NY"/>
    <x v="4"/>
    <x v="1"/>
    <x v="14"/>
    <n v="110"/>
    <n v="184"/>
    <n v="147"/>
    <x v="3"/>
    <n v="54"/>
  </r>
  <r>
    <s v="Data Engineer"/>
    <x v="0"/>
    <x v="3"/>
    <n v="3.7"/>
    <s v="New York, NY"/>
    <x v="4"/>
    <x v="4"/>
    <x v="15"/>
    <n v="76"/>
    <n v="145"/>
    <n v="110.5"/>
    <x v="2"/>
    <n v="107"/>
  </r>
  <r>
    <s v="Marketing Data Analyst"/>
    <x v="0"/>
    <x v="2"/>
    <n v="3.9"/>
    <s v="Exton, PA"/>
    <x v="138"/>
    <x v="0"/>
    <x v="6"/>
    <n v="36"/>
    <n v="62"/>
    <n v="49"/>
    <x v="5"/>
    <n v="84"/>
  </r>
  <r>
    <s v="Data Scientist"/>
    <x v="0"/>
    <x v="0"/>
    <n v="4.5999999999999996"/>
    <s v="Waltham, MA"/>
    <x v="172"/>
    <x v="3"/>
    <x v="7"/>
    <n v="70"/>
    <n v="118"/>
    <n v="94"/>
    <x v="1"/>
    <n v="-1"/>
  </r>
  <r>
    <s v="Senior Data Scientist"/>
    <x v="1"/>
    <x v="0"/>
    <n v="4.3"/>
    <s v="New York, NY"/>
    <x v="4"/>
    <x v="2"/>
    <x v="14"/>
    <n v="94"/>
    <n v="153"/>
    <n v="123.5"/>
    <x v="2"/>
    <n v="22"/>
  </r>
  <r>
    <s v="Principal Scientist, Hematology"/>
    <x v="1"/>
    <x v="0"/>
    <n v="3.3"/>
    <s v="Rochester, NY"/>
    <x v="8"/>
    <x v="1"/>
    <x v="1"/>
    <n v="54"/>
    <n v="115"/>
    <n v="84.5"/>
    <x v="1"/>
    <n v="7"/>
  </r>
  <r>
    <s v="Data Analyst"/>
    <x v="0"/>
    <x v="2"/>
    <n v="3.7"/>
    <s v="Alexandria, VA"/>
    <x v="139"/>
    <x v="0"/>
    <x v="19"/>
    <n v="50"/>
    <n v="92"/>
    <n v="71"/>
    <x v="0"/>
    <n v="32"/>
  </r>
  <r>
    <s v="Software Data Engineer - College"/>
    <x v="0"/>
    <x v="3"/>
    <n v="4"/>
    <s v="Corvallis, OR"/>
    <x v="173"/>
    <x v="1"/>
    <x v="20"/>
    <n v="49"/>
    <n v="97"/>
    <n v="73"/>
    <x v="0"/>
    <n v="82"/>
  </r>
  <r>
    <s v="Director - Data, Privacy and AI Governance"/>
    <x v="3"/>
    <x v="5"/>
    <n v="3.6"/>
    <s v="Boston, MA"/>
    <x v="38"/>
    <x v="5"/>
    <x v="15"/>
    <n v="67"/>
    <n v="135"/>
    <n v="101"/>
    <x v="2"/>
    <n v="170"/>
  </r>
  <r>
    <s v="Staff Machine Learning Engineer"/>
    <x v="0"/>
    <x v="4"/>
    <n v="3.9"/>
    <s v="San Francisco, CA"/>
    <x v="15"/>
    <x v="4"/>
    <x v="8"/>
    <n v="138"/>
    <n v="224"/>
    <n v="181"/>
    <x v="4"/>
    <n v="14"/>
  </r>
  <r>
    <s v="Data Scientist"/>
    <x v="0"/>
    <x v="0"/>
    <n v="3.7"/>
    <s v="San Diego, CA"/>
    <x v="41"/>
    <x v="1"/>
    <x v="0"/>
    <n v="80"/>
    <n v="139"/>
    <n v="109.5"/>
    <x v="2"/>
    <n v="82"/>
  </r>
  <r>
    <s v="Lead Data Scientist"/>
    <x v="1"/>
    <x v="0"/>
    <n v="3.7"/>
    <s v="Bellevue, WA"/>
    <x v="33"/>
    <x v="1"/>
    <x v="19"/>
    <n v="158"/>
    <n v="211"/>
    <n v="184.5"/>
    <x v="4"/>
    <n v="63"/>
  </r>
  <r>
    <s v="Senior Data Scientist - Algorithms"/>
    <x v="1"/>
    <x v="0"/>
    <n v="3.9"/>
    <s v="New York, NY"/>
    <x v="4"/>
    <x v="4"/>
    <x v="14"/>
    <n v="150"/>
    <n v="180"/>
    <n v="165"/>
    <x v="4"/>
    <n v="7"/>
  </r>
  <r>
    <s v="Information Security Data Analyst"/>
    <x v="0"/>
    <x v="2"/>
    <n v="3.7"/>
    <s v="Chicago, IL"/>
    <x v="17"/>
    <x v="1"/>
    <x v="20"/>
    <n v="42"/>
    <n v="80"/>
    <n v="61"/>
    <x v="0"/>
    <n v="93"/>
  </r>
  <r>
    <s v="Lead Data Engineer"/>
    <x v="1"/>
    <x v="3"/>
    <n v="4.0999999999999996"/>
    <s v="Mountain View, CA"/>
    <x v="14"/>
    <x v="3"/>
    <x v="8"/>
    <n v="190"/>
    <n v="220"/>
    <n v="205"/>
    <x v="4"/>
    <n v="11"/>
  </r>
  <r>
    <s v="Data Analyst"/>
    <x v="0"/>
    <x v="2"/>
    <n v="3.1"/>
    <s v="New York, NY"/>
    <x v="4"/>
    <x v="2"/>
    <x v="51"/>
    <n v="42"/>
    <n v="77"/>
    <n v="59.5"/>
    <x v="0"/>
    <n v="15"/>
  </r>
  <r>
    <s v="Scientist Manufacturing - Kentucky BioProcessing"/>
    <x v="0"/>
    <x v="0"/>
    <n v="3.1"/>
    <s v="Owensboro, KY"/>
    <x v="140"/>
    <x v="5"/>
    <x v="22"/>
    <n v="68"/>
    <n v="139"/>
    <n v="103.5"/>
    <x v="2"/>
    <n v="146"/>
  </r>
  <r>
    <s v="Consultant - Analytics Consulting"/>
    <x v="0"/>
    <x v="0"/>
    <n v="3"/>
    <s v="Hartford, CT"/>
    <x v="141"/>
    <x v="1"/>
    <x v="19"/>
    <n v="54"/>
    <n v="71"/>
    <n v="62.5"/>
    <x v="0"/>
    <n v="40"/>
  </r>
  <r>
    <s v="Data Analytics Project Manager"/>
    <x v="3"/>
    <x v="6"/>
    <n v="3.6"/>
    <s v="Springfield, MA"/>
    <x v="102"/>
    <x v="5"/>
    <x v="15"/>
    <n v="34"/>
    <n v="92"/>
    <n v="63"/>
    <x v="0"/>
    <n v="170"/>
  </r>
  <r>
    <s v="Data Analyst"/>
    <x v="0"/>
    <x v="2"/>
    <n v="3.6"/>
    <s v="New York, NY"/>
    <x v="4"/>
    <x v="6"/>
    <x v="1"/>
    <n v="47"/>
    <n v="85"/>
    <n v="66"/>
    <x v="0"/>
    <n v="41"/>
  </r>
  <r>
    <s v="Data Engineer"/>
    <x v="0"/>
    <x v="3"/>
    <n v="3.5"/>
    <s v="Orange, CA"/>
    <x v="142"/>
    <x v="0"/>
    <x v="1"/>
    <n v="65"/>
    <n v="124"/>
    <n v="94.5"/>
    <x v="1"/>
    <n v="8"/>
  </r>
  <r>
    <s v="Data Scientist"/>
    <x v="0"/>
    <x v="0"/>
    <n v="4.2"/>
    <s v="New York, NY"/>
    <x v="4"/>
    <x v="3"/>
    <x v="32"/>
    <n v="56"/>
    <n v="95"/>
    <n v="75.5"/>
    <x v="1"/>
    <n v="9"/>
  </r>
  <r>
    <s v="Machine Learning Engineer"/>
    <x v="0"/>
    <x v="4"/>
    <n v="4"/>
    <s v="Fort Belvoir, VA"/>
    <x v="65"/>
    <x v="0"/>
    <x v="0"/>
    <n v="62"/>
    <n v="112"/>
    <n v="87"/>
    <x v="1"/>
    <n v="67"/>
  </r>
  <r>
    <s v="Senior Data Scientist Oncology"/>
    <x v="1"/>
    <x v="0"/>
    <n v="3.9"/>
    <s v="Gaithersburg, MD"/>
    <x v="174"/>
    <x v="1"/>
    <x v="12"/>
    <n v="107"/>
    <n v="173"/>
    <n v="140"/>
    <x v="3"/>
    <n v="108"/>
  </r>
  <r>
    <s v="Data Scientist"/>
    <x v="0"/>
    <x v="0"/>
    <n v="3.7"/>
    <s v="Silver Spring, MD"/>
    <x v="67"/>
    <x v="4"/>
    <x v="19"/>
    <n v="64"/>
    <n v="108"/>
    <n v="86"/>
    <x v="1"/>
    <n v="15"/>
  </r>
  <r>
    <s v="Senior Data Scientist"/>
    <x v="1"/>
    <x v="0"/>
    <n v="4.4000000000000004"/>
    <s v="Palo Alto, CA"/>
    <x v="44"/>
    <x v="6"/>
    <x v="8"/>
    <n v="89"/>
    <n v="144"/>
    <n v="116.5"/>
    <x v="2"/>
    <n v="9"/>
  </r>
  <r>
    <s v="Senior Scientist (Neuroscience)"/>
    <x v="1"/>
    <x v="0"/>
    <n v="3.5"/>
    <s v="Marlborough, MA"/>
    <x v="30"/>
    <x v="2"/>
    <x v="12"/>
    <n v="109"/>
    <n v="200"/>
    <n v="154.5"/>
    <x v="4"/>
    <n v="11"/>
  </r>
  <r>
    <s v="Machine Learning Engineer - Regulatory"/>
    <x v="0"/>
    <x v="4"/>
    <n v="3.7"/>
    <s v="Lenexa, KS"/>
    <x v="143"/>
    <x v="0"/>
    <x v="53"/>
    <n v="61"/>
    <n v="113"/>
    <n v="87"/>
    <x v="1"/>
    <n v="48"/>
  </r>
  <r>
    <s v="Marketing Data Analyst"/>
    <x v="0"/>
    <x v="2"/>
    <n v="3.6"/>
    <s v="Highland, CA"/>
    <x v="108"/>
    <x v="2"/>
    <x v="43"/>
    <n v="35"/>
    <n v="62"/>
    <n v="48.5"/>
    <x v="5"/>
    <n v="35"/>
  </r>
  <r>
    <s v="Data Engineer"/>
    <x v="0"/>
    <x v="3"/>
    <n v="3.4"/>
    <s v="Houston, TX"/>
    <x v="69"/>
    <x v="0"/>
    <x v="19"/>
    <n v="55"/>
    <n v="105"/>
    <n v="80"/>
    <x v="1"/>
    <n v="19"/>
  </r>
  <r>
    <s v="Medical Laboratory Scientist"/>
    <x v="0"/>
    <x v="0"/>
    <n v="4"/>
    <s v="Burleson, TX"/>
    <x v="109"/>
    <x v="2"/>
    <x v="1"/>
    <n v="37"/>
    <n v="52"/>
    <n v="44.5"/>
    <x v="5"/>
    <n v="44"/>
  </r>
  <r>
    <s v="R&amp;D Specialist/ Food Scientist"/>
    <x v="0"/>
    <x v="0"/>
    <n v="2.4"/>
    <s v="Hoopeston, IL"/>
    <x v="110"/>
    <x v="0"/>
    <x v="44"/>
    <n v="39"/>
    <n v="66"/>
    <n v="52.5"/>
    <x v="0"/>
    <n v="-1"/>
  </r>
  <r>
    <s v="Principal Data Scientist"/>
    <x v="1"/>
    <x v="0"/>
    <n v="3.7"/>
    <s v="San Jose, CA"/>
    <x v="7"/>
    <x v="1"/>
    <x v="0"/>
    <n v="135"/>
    <n v="211"/>
    <n v="173"/>
    <x v="4"/>
    <n v="82"/>
  </r>
  <r>
    <s v="Data Engineer"/>
    <x v="0"/>
    <x v="3"/>
    <n v="3.5"/>
    <s v="Phoenix, AZ"/>
    <x v="73"/>
    <x v="0"/>
    <x v="12"/>
    <n v="57"/>
    <n v="80"/>
    <n v="68.5"/>
    <x v="0"/>
    <n v="24"/>
  </r>
  <r>
    <s v="Data Scientist - Alpha Insights"/>
    <x v="0"/>
    <x v="0"/>
    <n v="4.4000000000000004"/>
    <s v="New York, NY"/>
    <x v="4"/>
    <x v="2"/>
    <x v="41"/>
    <n v="129"/>
    <n v="215"/>
    <n v="172"/>
    <x v="4"/>
    <n v="20"/>
  </r>
  <r>
    <s v="Data Scientist, Office of Data Science"/>
    <x v="0"/>
    <x v="0"/>
    <n v="3.3"/>
    <s v="Boston, MA"/>
    <x v="38"/>
    <x v="1"/>
    <x v="15"/>
    <n v="86"/>
    <n v="143"/>
    <n v="114.5"/>
    <x v="2"/>
    <n v="109"/>
  </r>
  <r>
    <s v="Associate Principal Scientist, Pharmacogenomics"/>
    <x v="1"/>
    <x v="0"/>
    <n v="3.9"/>
    <s v="Gaithersburg, MD"/>
    <x v="174"/>
    <x v="1"/>
    <x v="12"/>
    <n v="63"/>
    <n v="127"/>
    <n v="95"/>
    <x v="1"/>
    <n v="108"/>
  </r>
  <r>
    <s v="Data Scientist - Systems Engineering"/>
    <x v="0"/>
    <x v="0"/>
    <n v="3.2"/>
    <s v="Bedford, MA"/>
    <x v="175"/>
    <x v="5"/>
    <x v="31"/>
    <n v="50"/>
    <n v="89"/>
    <n v="69.5"/>
    <x v="0"/>
    <n v="63"/>
  </r>
  <r>
    <s v="Data Engineer"/>
    <x v="0"/>
    <x v="3"/>
    <n v="3.2"/>
    <s v="New York, NY"/>
    <x v="4"/>
    <x v="0"/>
    <x v="10"/>
    <n v="43"/>
    <n v="86"/>
    <n v="64.5"/>
    <x v="0"/>
    <n v="18"/>
  </r>
  <r>
    <s v="Scientist, Bacteriology"/>
    <x v="0"/>
    <x v="0"/>
    <n v="2.1"/>
    <s v="Concord, CA"/>
    <x v="144"/>
    <x v="4"/>
    <x v="12"/>
    <n v="74"/>
    <n v="149"/>
    <n v="111.5"/>
    <x v="2"/>
    <n v="-1"/>
  </r>
  <r>
    <s v="Data Scientist"/>
    <x v="0"/>
    <x v="0"/>
    <n v="4"/>
    <s v="New York, NY"/>
    <x v="4"/>
    <x v="0"/>
    <x v="58"/>
    <n v="71"/>
    <n v="124"/>
    <n v="97.5"/>
    <x v="1"/>
    <n v="14"/>
  </r>
  <r>
    <s v="Associate Director, Platform and DevOps- Data Engineering and Aritifical Intelligence"/>
    <x v="2"/>
    <x v="3"/>
    <n v="3.7"/>
    <s v="Cambridge, MA"/>
    <x v="12"/>
    <x v="1"/>
    <x v="12"/>
    <n v="113"/>
    <n v="196"/>
    <n v="154.5"/>
    <x v="4"/>
    <n v="240"/>
  </r>
  <r>
    <s v="Senior Research Scientist-Machine Learning"/>
    <x v="1"/>
    <x v="4"/>
    <n v="2.6"/>
    <s v="Pittsburgh, PA"/>
    <x v="54"/>
    <x v="0"/>
    <x v="40"/>
    <n v="81"/>
    <n v="167"/>
    <n v="124"/>
    <x v="2"/>
    <n v="37"/>
  </r>
  <r>
    <s v="Data Scientist"/>
    <x v="0"/>
    <x v="0"/>
    <n v="3.4"/>
    <s v="New York, NY"/>
    <x v="4"/>
    <x v="4"/>
    <x v="1"/>
    <n v="69"/>
    <n v="121"/>
    <n v="95"/>
    <x v="1"/>
    <n v="10"/>
  </r>
  <r>
    <s v="Senior Data Scientist"/>
    <x v="1"/>
    <x v="0"/>
    <n v="4.4000000000000004"/>
    <s v="Chicago, IL"/>
    <x v="17"/>
    <x v="4"/>
    <x v="7"/>
    <n v="97"/>
    <n v="160"/>
    <n v="128.5"/>
    <x v="3"/>
    <n v="13"/>
  </r>
  <r>
    <s v="Principal Data Scientist"/>
    <x v="1"/>
    <x v="0"/>
    <n v="3.2"/>
    <s v="San Francisco, CA"/>
    <x v="15"/>
    <x v="0"/>
    <x v="14"/>
    <n v="150"/>
    <n v="238"/>
    <n v="194"/>
    <x v="4"/>
    <n v="15"/>
  </r>
  <r>
    <s v="Data Scientist"/>
    <x v="0"/>
    <x v="0"/>
    <n v="3.5"/>
    <s v="New York, NY"/>
    <x v="4"/>
    <x v="4"/>
    <x v="4"/>
    <n v="77"/>
    <n v="132"/>
    <n v="104.5"/>
    <x v="2"/>
    <n v="16"/>
  </r>
  <r>
    <s v="Clinical Laboratory Scientist"/>
    <x v="0"/>
    <x v="0"/>
    <n v="3.7"/>
    <s v="Vail, CO"/>
    <x v="145"/>
    <x v="0"/>
    <x v="1"/>
    <n v="49"/>
    <n v="81"/>
    <n v="65"/>
    <x v="0"/>
    <n v="55"/>
  </r>
  <r>
    <s v="Data Engineer - Consultant (Charlotte Based)"/>
    <x v="0"/>
    <x v="3"/>
    <n v="4.2"/>
    <s v="Charlotte, NC"/>
    <x v="70"/>
    <x v="4"/>
    <x v="19"/>
    <n v="59"/>
    <n v="112"/>
    <n v="85.5"/>
    <x v="1"/>
    <n v="13"/>
  </r>
  <r>
    <s v="Data Analyst 1, full-time contract worker for up to 12 months"/>
    <x v="0"/>
    <x v="2"/>
    <n v="4.2"/>
    <s v="Salt Lake City, UT"/>
    <x v="105"/>
    <x v="1"/>
    <x v="39"/>
    <n v="35"/>
    <n v="65"/>
    <n v="50"/>
    <x v="0"/>
    <n v="-1"/>
  </r>
  <r>
    <s v="Data Engineer"/>
    <x v="0"/>
    <x v="3"/>
    <n v="3.1"/>
    <s v="Aliso Viejo, CA"/>
    <x v="176"/>
    <x v="2"/>
    <x v="47"/>
    <n v="79"/>
    <n v="147"/>
    <n v="113"/>
    <x v="2"/>
    <n v="24"/>
  </r>
  <r>
    <s v="Scientist, Immuno-Oncology"/>
    <x v="0"/>
    <x v="0"/>
    <n v="3.9"/>
    <s v="Cambridge, MA"/>
    <x v="12"/>
    <x v="1"/>
    <x v="12"/>
    <n v="62"/>
    <n v="119"/>
    <n v="90.5"/>
    <x v="1"/>
    <n v="191"/>
  </r>
  <r>
    <s v="Senior Data Scientist"/>
    <x v="1"/>
    <x v="0"/>
    <n v="4.3"/>
    <s v="Los Angeles, CA"/>
    <x v="78"/>
    <x v="3"/>
    <x v="20"/>
    <n v="119"/>
    <n v="187"/>
    <n v="153"/>
    <x v="4"/>
    <n v="13"/>
  </r>
  <r>
    <s v="Products Data Analyst II"/>
    <x v="0"/>
    <x v="2"/>
    <n v="3.3"/>
    <s v="Dublin, CA"/>
    <x v="177"/>
    <x v="2"/>
    <x v="7"/>
    <n v="90"/>
    <n v="157"/>
    <n v="123.5"/>
    <x v="2"/>
    <n v="33"/>
  </r>
  <r>
    <s v="Lead Data Analyst"/>
    <x v="1"/>
    <x v="2"/>
    <n v="3.9"/>
    <s v="New York, NY"/>
    <x v="4"/>
    <x v="4"/>
    <x v="8"/>
    <n v="32"/>
    <n v="62"/>
    <n v="47"/>
    <x v="5"/>
    <n v="11"/>
  </r>
  <r>
    <s v="Analytics Manager - Data Mart"/>
    <x v="3"/>
    <x v="6"/>
    <n v="3.5"/>
    <s v="Scotts Valley, CA"/>
    <x v="111"/>
    <x v="0"/>
    <x v="1"/>
    <n v="42"/>
    <n v="86"/>
    <n v="64"/>
    <x v="0"/>
    <n v="25"/>
  </r>
  <r>
    <s v="Data Science Engineer - Mobile"/>
    <x v="0"/>
    <x v="0"/>
    <n v="4"/>
    <s v="San Jose, CA"/>
    <x v="7"/>
    <x v="1"/>
    <x v="20"/>
    <n v="116"/>
    <n v="208"/>
    <n v="162"/>
    <x v="4"/>
    <n v="39"/>
  </r>
  <r>
    <s v="Senior Data Scientist - R&amp;D Oncology"/>
    <x v="1"/>
    <x v="0"/>
    <n v="3.9"/>
    <s v="New York, NY"/>
    <x v="4"/>
    <x v="1"/>
    <x v="12"/>
    <n v="102"/>
    <n v="172"/>
    <n v="137"/>
    <x v="3"/>
    <n v="108"/>
  </r>
  <r>
    <s v="Sr. Data Engineer - Contract-to-Hire (Java)"/>
    <x v="1"/>
    <x v="3"/>
    <n v="3"/>
    <s v="Knoxville, TN"/>
    <x v="112"/>
    <x v="1"/>
    <x v="45"/>
    <n v="69"/>
    <n v="127"/>
    <n v="98"/>
    <x v="1"/>
    <n v="63"/>
  </r>
  <r>
    <s v="Data Scientist"/>
    <x v="0"/>
    <x v="0"/>
    <n v="3.7"/>
    <s v="Armonk, NY"/>
    <x v="40"/>
    <x v="1"/>
    <x v="16"/>
    <n v="86"/>
    <n v="144"/>
    <n v="115"/>
    <x v="2"/>
    <n v="158"/>
  </r>
  <r>
    <s v="Senior Data Scientist"/>
    <x v="1"/>
    <x v="0"/>
    <n v="3.5"/>
    <s v="Arvada, CO"/>
    <x v="178"/>
    <x v="5"/>
    <x v="12"/>
    <n v="102"/>
    <n v="165"/>
    <n v="133.5"/>
    <x v="3"/>
    <n v="151"/>
  </r>
  <r>
    <s v="Data Engineer"/>
    <x v="0"/>
    <x v="3"/>
    <n v="4"/>
    <s v="Denver, CO"/>
    <x v="16"/>
    <x v="0"/>
    <x v="15"/>
    <n v="74"/>
    <n v="124"/>
    <n v="99"/>
    <x v="1"/>
    <n v="106"/>
  </r>
  <r>
    <s v="Food Scientist - Developer"/>
    <x v="0"/>
    <x v="0"/>
    <n v="3.3"/>
    <s v="Milwaukee, WI"/>
    <x v="66"/>
    <x v="0"/>
    <x v="44"/>
    <n v="40"/>
    <n v="68"/>
    <n v="54"/>
    <x v="0"/>
    <n v="57"/>
  </r>
  <r>
    <s v="Senior Data Engineer"/>
    <x v="1"/>
    <x v="3"/>
    <n v="3.2"/>
    <s v="Franklin, TN"/>
    <x v="179"/>
    <x v="2"/>
    <x v="1"/>
    <n v="76"/>
    <n v="142"/>
    <n v="109"/>
    <x v="2"/>
    <n v="17"/>
  </r>
  <r>
    <s v="Data Engineer"/>
    <x v="0"/>
    <x v="3"/>
    <n v="3.4"/>
    <s v="Rockville, MD"/>
    <x v="76"/>
    <x v="4"/>
    <x v="19"/>
    <n v="76"/>
    <n v="142"/>
    <n v="109"/>
    <x v="2"/>
    <n v="22"/>
  </r>
  <r>
    <s v="Senior Data Scientist"/>
    <x v="1"/>
    <x v="0"/>
    <n v="4.4000000000000004"/>
    <s v="Natick, MA"/>
    <x v="146"/>
    <x v="2"/>
    <x v="20"/>
    <n v="108"/>
    <n v="171"/>
    <n v="139.5"/>
    <x v="3"/>
    <n v="37"/>
  </r>
  <r>
    <s v="Director II, Data Science - GRM Actuarial"/>
    <x v="3"/>
    <x v="5"/>
    <n v="3.3"/>
    <s v="Chicago, IL"/>
    <x v="17"/>
    <x v="1"/>
    <x v="15"/>
    <n v="202"/>
    <n v="306"/>
    <n v="254"/>
    <x v="4"/>
    <n v="109"/>
  </r>
  <r>
    <s v="Machine Learning Engineer"/>
    <x v="0"/>
    <x v="4"/>
    <n v="3.2"/>
    <s v="New York, NY"/>
    <x v="4"/>
    <x v="2"/>
    <x v="20"/>
    <n v="91"/>
    <n v="159"/>
    <n v="125"/>
    <x v="3"/>
    <n v="46"/>
  </r>
  <r>
    <s v="Sr Expert Data Science, Advanced Visual Analytics (Associate level)"/>
    <x v="1"/>
    <x v="0"/>
    <n v="3.8"/>
    <s v="Cambridge, MA"/>
    <x v="12"/>
    <x v="1"/>
    <x v="12"/>
    <n v="80"/>
    <n v="133"/>
    <n v="106.5"/>
    <x v="2"/>
    <n v="25"/>
  </r>
  <r>
    <s v="Scientist, Molecular/Cellular Biologist"/>
    <x v="0"/>
    <x v="0"/>
    <n v="2.9"/>
    <s v="South San Francisco, CA"/>
    <x v="91"/>
    <x v="4"/>
    <x v="12"/>
    <n v="49"/>
    <n v="97"/>
    <n v="73"/>
    <x v="0"/>
    <n v="9"/>
  </r>
  <r>
    <s v="Staff Scientist-Downstream Process Development"/>
    <x v="0"/>
    <x v="0"/>
    <n v="2.7"/>
    <s v="Rockville, MD"/>
    <x v="76"/>
    <x v="4"/>
    <x v="12"/>
    <n v="49"/>
    <n v="113"/>
    <n v="81"/>
    <x v="1"/>
    <n v="60"/>
  </r>
  <r>
    <s v="MED TECH/LAB SCIENTIST- SOUTH COASTAL LAB"/>
    <x v="0"/>
    <x v="0"/>
    <n v="3.6"/>
    <s v="Millville, DE"/>
    <x v="113"/>
    <x v="2"/>
    <x v="1"/>
    <n v="43"/>
    <n v="70"/>
    <n v="56.5"/>
    <x v="0"/>
    <n v="86"/>
  </r>
  <r>
    <s v="Scientist - Analytical Services"/>
    <x v="0"/>
    <x v="0"/>
    <n v="3.1"/>
    <s v="Winston-Salem, NC"/>
    <x v="147"/>
    <x v="5"/>
    <x v="22"/>
    <n v="65"/>
    <n v="134"/>
    <n v="99.5"/>
    <x v="1"/>
    <n v="146"/>
  </r>
  <r>
    <s v="Associate Data Analyst- Graduate Development Program"/>
    <x v="2"/>
    <x v="2"/>
    <n v="3.3"/>
    <s v="Richfield, OH"/>
    <x v="148"/>
    <x v="0"/>
    <x v="15"/>
    <n v="32"/>
    <n v="59"/>
    <n v="45.5"/>
    <x v="5"/>
    <n v="32"/>
  </r>
  <r>
    <s v="IT Associate Data Analyst"/>
    <x v="2"/>
    <x v="2"/>
    <n v="3.7"/>
    <s v="Worcester, MA"/>
    <x v="21"/>
    <x v="5"/>
    <x v="15"/>
    <n v="39"/>
    <n v="69"/>
    <n v="54"/>
    <x v="0"/>
    <n v="169"/>
  </r>
  <r>
    <s v="Sr. Data Engineer"/>
    <x v="1"/>
    <x v="3"/>
    <n v="4.5"/>
    <s v="Indianapolis, IN"/>
    <x v="50"/>
    <x v="3"/>
    <x v="7"/>
    <n v="87"/>
    <n v="158"/>
    <n v="122.5"/>
    <x v="2"/>
    <n v="25"/>
  </r>
  <r>
    <s v="Clinical Data Analyst"/>
    <x v="0"/>
    <x v="2"/>
    <n v="3"/>
    <s v="Tampa, FL"/>
    <x v="87"/>
    <x v="2"/>
    <x v="14"/>
    <n v="27"/>
    <n v="48"/>
    <n v="37.5"/>
    <x v="5"/>
    <n v="44"/>
  </r>
  <r>
    <s v="Business Data Analyst"/>
    <x v="0"/>
    <x v="2"/>
    <n v="3.8"/>
    <s v="New York, NY"/>
    <x v="4"/>
    <x v="2"/>
    <x v="38"/>
    <n v="36"/>
    <n v="71"/>
    <n v="53.5"/>
    <x v="0"/>
    <n v="19"/>
  </r>
  <r>
    <s v="Senior Insurance Data Scientist"/>
    <x v="1"/>
    <x v="0"/>
    <n v="3.9"/>
    <s v="Chicago, IL"/>
    <x v="17"/>
    <x v="5"/>
    <x v="30"/>
    <n v="107"/>
    <n v="173"/>
    <n v="140"/>
    <x v="3"/>
    <n v="53"/>
  </r>
  <r>
    <s v="Senior Data Science Systems Engineer"/>
    <x v="1"/>
    <x v="0"/>
    <n v="3.2"/>
    <s v="Hampton, VA"/>
    <x v="149"/>
    <x v="5"/>
    <x v="31"/>
    <n v="56"/>
    <n v="99"/>
    <n v="77.5"/>
    <x v="1"/>
    <n v="63"/>
  </r>
  <r>
    <s v="ENVIRONMENTAL ENGINEER/SCIENTIST"/>
    <x v="0"/>
    <x v="0"/>
    <n v="3.3"/>
    <s v="Cambridge, MA"/>
    <x v="12"/>
    <x v="6"/>
    <x v="54"/>
    <n v="52"/>
    <n v="58"/>
    <n v="55"/>
    <x v="0"/>
    <n v="45"/>
  </r>
  <r>
    <s v="Senior Scientist - Regulatory Submissions"/>
    <x v="1"/>
    <x v="0"/>
    <n v="3.1"/>
    <s v="Winston-Salem, NC"/>
    <x v="147"/>
    <x v="5"/>
    <x v="22"/>
    <n v="80"/>
    <n v="155"/>
    <n v="117.5"/>
    <x v="2"/>
    <n v="146"/>
  </r>
  <r>
    <s v="Scientist - Biomarker and Flow Cytometry"/>
    <x v="0"/>
    <x v="0"/>
    <n v="2.4"/>
    <s v="San Diego, CA"/>
    <x v="41"/>
    <x v="0"/>
    <x v="12"/>
    <n v="43"/>
    <n v="98"/>
    <n v="70.5"/>
    <x v="0"/>
    <n v="15"/>
  </r>
  <r>
    <s v="Associate Scientist, LC/MS Biologics"/>
    <x v="2"/>
    <x v="0"/>
    <n v="2.9"/>
    <s v="Ithaca, NY"/>
    <x v="150"/>
    <x v="2"/>
    <x v="12"/>
    <n v="44"/>
    <n v="96"/>
    <n v="70"/>
    <x v="0"/>
    <n v="6"/>
  </r>
  <r>
    <s v="Revenue Analytics Manager"/>
    <x v="3"/>
    <x v="6"/>
    <n v="4.8"/>
    <s v="San Francisco, CA"/>
    <x v="15"/>
    <x v="3"/>
    <x v="20"/>
    <n v="45"/>
    <n v="78"/>
    <n v="61.5"/>
    <x v="0"/>
    <n v="10"/>
  </r>
  <r>
    <s v="Sr. Scientist Method Development"/>
    <x v="1"/>
    <x v="0"/>
    <n v="2.9"/>
    <s v="Marietta, GA"/>
    <x v="151"/>
    <x v="2"/>
    <x v="12"/>
    <n v="50"/>
    <n v="110"/>
    <n v="80"/>
    <x v="1"/>
    <n v="6"/>
  </r>
  <r>
    <s v="Data Scientist"/>
    <x v="0"/>
    <x v="0"/>
    <n v="4.7"/>
    <s v="Atlanta, GA"/>
    <x v="47"/>
    <x v="3"/>
    <x v="20"/>
    <n v="60"/>
    <n v="99"/>
    <n v="79.5"/>
    <x v="1"/>
    <n v="18"/>
  </r>
  <r>
    <s v="Data Scientist - Sales"/>
    <x v="0"/>
    <x v="0"/>
    <n v="4.7"/>
    <s v="Mountain View, CA"/>
    <x v="14"/>
    <x v="0"/>
    <x v="20"/>
    <n v="130"/>
    <n v="206"/>
    <n v="168"/>
    <x v="4"/>
    <n v="7"/>
  </r>
  <r>
    <s v="IT - Data Engineer II"/>
    <x v="0"/>
    <x v="3"/>
    <n v="3.4"/>
    <s v="Quincy, MA"/>
    <x v="152"/>
    <x v="2"/>
    <x v="15"/>
    <n v="61"/>
    <n v="119"/>
    <n v="90"/>
    <x v="1"/>
    <n v="33"/>
  </r>
  <r>
    <s v="Research Scientist, Immunology - Cancer Biology"/>
    <x v="0"/>
    <x v="1"/>
    <n v="-1"/>
    <s v="Cambridge, MA"/>
    <x v="12"/>
    <x v="7"/>
    <x v="21"/>
    <n v="100"/>
    <n v="140"/>
    <n v="120"/>
    <x v="2"/>
    <n v="-1"/>
  </r>
  <r>
    <s v="Senior Data Analyst"/>
    <x v="1"/>
    <x v="2"/>
    <n v="3.9"/>
    <s v="San Francisco, CA"/>
    <x v="15"/>
    <x v="3"/>
    <x v="20"/>
    <n v="99"/>
    <n v="178"/>
    <n v="138.5"/>
    <x v="3"/>
    <n v="13"/>
  </r>
  <r>
    <s v="Principal, Data Science - Advanced Analytics"/>
    <x v="1"/>
    <x v="0"/>
    <n v="3.6"/>
    <s v="Plymouth Meeting, PA"/>
    <x v="180"/>
    <x v="1"/>
    <x v="12"/>
    <n v="86"/>
    <n v="137"/>
    <n v="111.5"/>
    <x v="2"/>
    <n v="4"/>
  </r>
  <r>
    <s v="Data Science Project Manager"/>
    <x v="3"/>
    <x v="6"/>
    <n v="3.6"/>
    <s v="Boston, MA"/>
    <x v="38"/>
    <x v="5"/>
    <x v="15"/>
    <n v="37"/>
    <n v="100"/>
    <n v="68.5"/>
    <x v="0"/>
    <n v="170"/>
  </r>
  <r>
    <s v="Sr Scientist, Immuno-Oncology - Oncology"/>
    <x v="1"/>
    <x v="0"/>
    <n v="3.9"/>
    <s v="Cambridge, MA"/>
    <x v="12"/>
    <x v="1"/>
    <x v="12"/>
    <n v="58"/>
    <n v="111"/>
    <n v="84.5"/>
    <x v="1"/>
    <n v="191"/>
  </r>
  <r>
    <s v="Senior Data Engineer"/>
    <x v="1"/>
    <x v="3"/>
    <n v="4.4000000000000004"/>
    <s v="Nashville, TN"/>
    <x v="120"/>
    <x v="2"/>
    <x v="8"/>
    <n v="72"/>
    <n v="133"/>
    <n v="102.5"/>
    <x v="2"/>
    <n v="15"/>
  </r>
  <r>
    <s v="Project Scientist - Auton Lab, Robotics Institute"/>
    <x v="0"/>
    <x v="0"/>
    <n v="2.6"/>
    <s v="Pittsburgh, PA"/>
    <x v="54"/>
    <x v="0"/>
    <x v="40"/>
    <n v="56"/>
    <n v="91"/>
    <n v="73.5"/>
    <x v="0"/>
    <n v="37"/>
  </r>
  <r>
    <s v="Research Scientist â€“ Security and Privacy"/>
    <x v="0"/>
    <x v="1"/>
    <n v="3.6"/>
    <s v="Beavercreek, OH"/>
    <x v="35"/>
    <x v="0"/>
    <x v="31"/>
    <n v="61"/>
    <n v="126"/>
    <n v="93.5"/>
    <x v="1"/>
    <n v="54"/>
  </r>
  <r>
    <s v="Data Science Manager"/>
    <x v="3"/>
    <x v="6"/>
    <n v="3.2"/>
    <s v="Allentown, PA"/>
    <x v="181"/>
    <x v="6"/>
    <x v="27"/>
    <n v="95"/>
    <n v="160"/>
    <n v="127.5"/>
    <x v="3"/>
    <n v="-1"/>
  </r>
  <r>
    <s v="Data Analyst 2 (Missionary Department)"/>
    <x v="0"/>
    <x v="2"/>
    <n v="4.2"/>
    <s v="Salt Lake City, UT"/>
    <x v="105"/>
    <x v="1"/>
    <x v="39"/>
    <n v="53"/>
    <n v="91"/>
    <n v="72"/>
    <x v="0"/>
    <n v="-1"/>
  </r>
  <r>
    <s v="Enterprise Architect, Data"/>
    <x v="0"/>
    <x v="0"/>
    <n v="3.6"/>
    <s v="Boston, MA"/>
    <x v="38"/>
    <x v="5"/>
    <x v="15"/>
    <n v="101"/>
    <n v="158"/>
    <n v="129.5"/>
    <x v="3"/>
    <n v="170"/>
  </r>
  <r>
    <s v="Supply Chain Data Analyst"/>
    <x v="0"/>
    <x v="2"/>
    <n v="3.1"/>
    <s v="Logan, UT"/>
    <x v="182"/>
    <x v="2"/>
    <x v="22"/>
    <n v="33"/>
    <n v="61"/>
    <n v="47"/>
    <x v="5"/>
    <n v="44"/>
  </r>
  <r>
    <s v="Data Engineer - ETL"/>
    <x v="0"/>
    <x v="3"/>
    <n v="3.8"/>
    <s v="Birmingham, AL"/>
    <x v="183"/>
    <x v="0"/>
    <x v="58"/>
    <n v="44"/>
    <n v="86"/>
    <n v="65"/>
    <x v="0"/>
    <n v="7"/>
  </r>
  <r>
    <s v="Corporate Risk Data Analyst (SQL Based) - Milwaukee or"/>
    <x v="0"/>
    <x v="2"/>
    <n v="3.8"/>
    <s v="Green Bay, WI"/>
    <x v="153"/>
    <x v="2"/>
    <x v="6"/>
    <n v="43"/>
    <n v="77"/>
    <n v="60"/>
    <x v="0"/>
    <n v="151"/>
  </r>
  <r>
    <s v="Senior Manager, Epidemiologic Data Scientist"/>
    <x v="1"/>
    <x v="6"/>
    <n v="4"/>
    <s v="New York, NY"/>
    <x v="4"/>
    <x v="1"/>
    <x v="12"/>
    <n v="125"/>
    <n v="210"/>
    <n v="167.5"/>
    <x v="4"/>
    <n v="172"/>
  </r>
  <r>
    <s v="Marketing Data Analyst, May 2020 Undergrad"/>
    <x v="0"/>
    <x v="2"/>
    <n v="3.8"/>
    <s v="New York, NY"/>
    <x v="4"/>
    <x v="2"/>
    <x v="38"/>
    <n v="44"/>
    <n v="86"/>
    <n v="65"/>
    <x v="0"/>
    <n v="19"/>
  </r>
  <r>
    <s v="Senior Data Analyst"/>
    <x v="1"/>
    <x v="2"/>
    <n v="4"/>
    <s v="Herndon, VA"/>
    <x v="19"/>
    <x v="0"/>
    <x v="14"/>
    <n v="69"/>
    <n v="119"/>
    <n v="94"/>
    <x v="1"/>
    <n v="9"/>
  </r>
  <r>
    <s v="Senior Data Analyst"/>
    <x v="1"/>
    <x v="2"/>
    <n v="1.9"/>
    <s v="New York, NY"/>
    <x v="4"/>
    <x v="4"/>
    <x v="11"/>
    <n v="65"/>
    <n v="110"/>
    <n v="87.5"/>
    <x v="1"/>
    <n v="11"/>
  </r>
  <r>
    <s v="Senior Data Engineer"/>
    <x v="1"/>
    <x v="3"/>
    <n v="4"/>
    <s v="Reston, VA"/>
    <x v="184"/>
    <x v="0"/>
    <x v="14"/>
    <n v="67"/>
    <n v="127"/>
    <n v="97"/>
    <x v="1"/>
    <n v="9"/>
  </r>
  <r>
    <s v="Senior Data Engineer"/>
    <x v="1"/>
    <x v="3"/>
    <n v="4.3"/>
    <s v="Durham, NC"/>
    <x v="154"/>
    <x v="5"/>
    <x v="20"/>
    <n v="78"/>
    <n v="147"/>
    <n v="112.5"/>
    <x v="2"/>
    <n v="31"/>
  </r>
  <r>
    <s v="Data Modeler (Analytical Systems)"/>
    <x v="0"/>
    <x v="0"/>
    <n v="3.6"/>
    <s v="Boston, MA"/>
    <x v="38"/>
    <x v="5"/>
    <x v="15"/>
    <n v="66"/>
    <n v="117"/>
    <n v="91.5"/>
    <x v="1"/>
    <n v="170"/>
  </r>
  <r>
    <s v="Data Modeler - Data Solutions Engineer"/>
    <x v="0"/>
    <x v="0"/>
    <n v="3.3"/>
    <s v="Indianapolis, IN"/>
    <x v="50"/>
    <x v="1"/>
    <x v="15"/>
    <n v="37"/>
    <n v="66"/>
    <n v="51.5"/>
    <x v="0"/>
    <n v="109"/>
  </r>
  <r>
    <s v="Data Scientist in Translational Medicine"/>
    <x v="0"/>
    <x v="0"/>
    <n v="3.8"/>
    <s v="Cambridge, MA"/>
    <x v="12"/>
    <x v="1"/>
    <x v="12"/>
    <n v="86"/>
    <n v="143"/>
    <n v="114.5"/>
    <x v="2"/>
    <n v="25"/>
  </r>
  <r>
    <s v="Data Scientist"/>
    <x v="0"/>
    <x v="0"/>
    <n v="4.3"/>
    <s v="New York, NY"/>
    <x v="4"/>
    <x v="4"/>
    <x v="7"/>
    <n v="84"/>
    <n v="146"/>
    <n v="115"/>
    <x v="2"/>
    <n v="10"/>
  </r>
  <r>
    <s v="Product Manager/Data Evangelist"/>
    <x v="3"/>
    <x v="6"/>
    <n v="3.2"/>
    <s v="Phila, PA"/>
    <x v="126"/>
    <x v="6"/>
    <x v="27"/>
    <n v="50"/>
    <n v="98"/>
    <n v="74"/>
    <x v="0"/>
    <n v="-1"/>
  </r>
  <r>
    <s v="Associate Environmental Scientist - Wildlife Biologist"/>
    <x v="2"/>
    <x v="0"/>
    <n v="4.7"/>
    <s v="Clovis, CA"/>
    <x v="155"/>
    <x v="3"/>
    <x v="36"/>
    <n v="38"/>
    <n v="64"/>
    <n v="51"/>
    <x v="0"/>
    <n v="49"/>
  </r>
  <r>
    <s v="Sr Data Engineer (Sr BI Developer)"/>
    <x v="1"/>
    <x v="3"/>
    <n v="3.4"/>
    <s v="Chandler, AZ"/>
    <x v="156"/>
    <x v="0"/>
    <x v="1"/>
    <n v="90"/>
    <n v="110"/>
    <n v="100"/>
    <x v="2"/>
    <n v="40"/>
  </r>
  <r>
    <s v="Senior Data Scientist â€“ Visualization, Novartis AI Innovation Lab"/>
    <x v="1"/>
    <x v="0"/>
    <n v="3.8"/>
    <s v="Cambridge, MA"/>
    <x v="12"/>
    <x v="1"/>
    <x v="12"/>
    <n v="92"/>
    <n v="150"/>
    <n v="121"/>
    <x v="2"/>
    <n v="25"/>
  </r>
  <r>
    <s v="Senior Data Analyst/Scientist"/>
    <x v="1"/>
    <x v="2"/>
    <n v="4.5"/>
    <s v="San Francisco, CA"/>
    <x v="15"/>
    <x v="4"/>
    <x v="20"/>
    <n v="90"/>
    <n v="153"/>
    <n v="121.5"/>
    <x v="2"/>
    <n v="15"/>
  </r>
  <r>
    <s v="Associate, Data Science, Internal Audit"/>
    <x v="2"/>
    <x v="0"/>
    <n v="3.1"/>
    <s v="Boston, MA"/>
    <x v="38"/>
    <x v="1"/>
    <x v="6"/>
    <n v="43"/>
    <n v="82"/>
    <n v="62.5"/>
    <x v="0"/>
    <n v="165"/>
  </r>
  <r>
    <s v="Scientist â€“ Cancer Discovery, Molecular Assay"/>
    <x v="0"/>
    <x v="0"/>
    <n v="-1"/>
    <s v="Cambridge, MA"/>
    <x v="12"/>
    <x v="7"/>
    <x v="21"/>
    <n v="100"/>
    <n v="135"/>
    <n v="117.5"/>
    <x v="2"/>
    <n v="-1"/>
  </r>
  <r>
    <s v="Senior LiDAR Data Scientist"/>
    <x v="1"/>
    <x v="0"/>
    <n v="3.9"/>
    <s v="Orlando, FL"/>
    <x v="157"/>
    <x v="4"/>
    <x v="20"/>
    <n v="93"/>
    <n v="151"/>
    <n v="122"/>
    <x v="2"/>
    <n v="9"/>
  </r>
  <r>
    <s v="Data Engineer"/>
    <x v="0"/>
    <x v="3"/>
    <n v="4.4000000000000004"/>
    <s v="Chantilly, VA"/>
    <x v="9"/>
    <x v="3"/>
    <x v="19"/>
    <n v="61"/>
    <n v="109"/>
    <n v="85"/>
    <x v="1"/>
    <n v="17"/>
  </r>
  <r>
    <s v="Data Engineer"/>
    <x v="0"/>
    <x v="3"/>
    <n v="3.4"/>
    <s v="Scottsdale, AZ"/>
    <x v="185"/>
    <x v="0"/>
    <x v="19"/>
    <n v="42"/>
    <n v="79"/>
    <n v="60.5"/>
    <x v="0"/>
    <n v="19"/>
  </r>
  <r>
    <s v="Lead Data Scientist"/>
    <x v="1"/>
    <x v="0"/>
    <n v="3.9"/>
    <s v="Burbank, CA"/>
    <x v="103"/>
    <x v="3"/>
    <x v="30"/>
    <n v="139"/>
    <n v="221"/>
    <n v="180"/>
    <x v="4"/>
    <n v="12"/>
  </r>
  <r>
    <s v="Technology-Minded, Data Professional Opportunities"/>
    <x v="0"/>
    <x v="0"/>
    <n v="4.7"/>
    <s v="Columbia, MO"/>
    <x v="134"/>
    <x v="2"/>
    <x v="42"/>
    <n v="40"/>
    <n v="101"/>
    <n v="70.5"/>
    <x v="0"/>
    <n v="19"/>
  </r>
  <r>
    <s v="Big Data Engineer"/>
    <x v="0"/>
    <x v="3"/>
    <n v="3.3"/>
    <s v="Chantilly, VA"/>
    <x v="9"/>
    <x v="2"/>
    <x v="0"/>
    <n v="84"/>
    <n v="153"/>
    <n v="118.5"/>
    <x v="2"/>
    <n v="4"/>
  </r>
  <r>
    <s v="Salesforce Analytics Consultant"/>
    <x v="0"/>
    <x v="0"/>
    <n v="3.9"/>
    <s v="Chicago, IL"/>
    <x v="17"/>
    <x v="0"/>
    <x v="14"/>
    <n v="52"/>
    <n v="81"/>
    <n v="66.5"/>
    <x v="0"/>
    <n v="26"/>
  </r>
  <r>
    <s v="Managing Data Scientist/ML Engineer"/>
    <x v="0"/>
    <x v="0"/>
    <n v="3.4"/>
    <s v="Boston, MA"/>
    <x v="38"/>
    <x v="2"/>
    <x v="7"/>
    <n v="81"/>
    <n v="134"/>
    <n v="107.5"/>
    <x v="2"/>
    <n v="78"/>
  </r>
  <r>
    <s v="Senior Data Engineer"/>
    <x v="1"/>
    <x v="3"/>
    <n v="4.7"/>
    <s v="Austin, TX"/>
    <x v="123"/>
    <x v="3"/>
    <x v="2"/>
    <n v="97"/>
    <n v="180"/>
    <n v="138.5"/>
    <x v="3"/>
    <n v="11"/>
  </r>
  <r>
    <s v="Staff Scientist- Upstream PD"/>
    <x v="0"/>
    <x v="0"/>
    <n v="2.7"/>
    <s v="Rockville, MD"/>
    <x v="76"/>
    <x v="4"/>
    <x v="12"/>
    <n v="49"/>
    <n v="113"/>
    <n v="81"/>
    <x v="1"/>
    <n v="60"/>
  </r>
  <r>
    <s v="Data Engineering Analyst"/>
    <x v="0"/>
    <x v="3"/>
    <n v="3.8"/>
    <s v="Bloomington, IL"/>
    <x v="186"/>
    <x v="2"/>
    <x v="15"/>
    <n v="44"/>
    <n v="73"/>
    <n v="58.5"/>
    <x v="0"/>
    <n v="96"/>
  </r>
  <r>
    <s v="Sr. Data Engineer"/>
    <x v="1"/>
    <x v="3"/>
    <n v="3.4"/>
    <s v="Chicago, IL"/>
    <x v="17"/>
    <x v="2"/>
    <x v="46"/>
    <n v="75"/>
    <n v="140"/>
    <n v="107.5"/>
    <x v="2"/>
    <n v="16"/>
  </r>
  <r>
    <s v="Scientist, Pharmacometrics"/>
    <x v="0"/>
    <x v="0"/>
    <n v="3.8"/>
    <s v="Cambridge, MA"/>
    <x v="12"/>
    <x v="0"/>
    <x v="12"/>
    <n v="84"/>
    <n v="157"/>
    <n v="120.5"/>
    <x v="2"/>
    <n v="13"/>
  </r>
  <r>
    <s v="Manager of Data Science"/>
    <x v="3"/>
    <x v="6"/>
    <n v="3.9"/>
    <s v="San Francisco, CA"/>
    <x v="15"/>
    <x v="4"/>
    <x v="8"/>
    <n v="40"/>
    <n v="87"/>
    <n v="63.5"/>
    <x v="0"/>
    <n v="14"/>
  </r>
  <r>
    <s v="Scientist Manufacturing Pharma - Kentucky BioProcessing"/>
    <x v="0"/>
    <x v="0"/>
    <n v="3.1"/>
    <s v="Owensboro, KY"/>
    <x v="140"/>
    <x v="5"/>
    <x v="22"/>
    <n v="68"/>
    <n v="139"/>
    <n v="103.5"/>
    <x v="2"/>
    <n v="146"/>
  </r>
  <r>
    <s v="Software Engineer (Data Scientist/Software Engineer) - SISW - MG"/>
    <x v="0"/>
    <x v="0"/>
    <n v="4.0999999999999996"/>
    <s v="Fremont, CA"/>
    <x v="28"/>
    <x v="5"/>
    <x v="20"/>
    <n v="72"/>
    <n v="142"/>
    <n v="107"/>
    <x v="2"/>
    <n v="40"/>
  </r>
  <r>
    <s v="Data Engineer"/>
    <x v="0"/>
    <x v="3"/>
    <n v="3.7"/>
    <s v="Springfield, VA"/>
    <x v="102"/>
    <x v="5"/>
    <x v="0"/>
    <n v="74"/>
    <n v="137"/>
    <n v="105.5"/>
    <x v="2"/>
    <n v="-1"/>
  </r>
  <r>
    <s v="Data Engineer"/>
    <x v="0"/>
    <x v="3"/>
    <n v="2.8"/>
    <s v="San Diego, CA"/>
    <x v="41"/>
    <x v="0"/>
    <x v="15"/>
    <n v="57"/>
    <n v="109"/>
    <n v="83"/>
    <x v="1"/>
    <n v="49"/>
  </r>
  <r>
    <s v="Lead Big Data Engineer"/>
    <x v="1"/>
    <x v="3"/>
    <n v="4"/>
    <s v="San Francisco, CA"/>
    <x v="15"/>
    <x v="2"/>
    <x v="8"/>
    <n v="121"/>
    <n v="203"/>
    <n v="162"/>
    <x v="4"/>
    <n v="14"/>
  </r>
  <r>
    <s v="Product Engineer â€“ Spatial Data Science and Statistical Analysis"/>
    <x v="0"/>
    <x v="0"/>
    <n v="3.5"/>
    <s v="Redlands, CA"/>
    <x v="26"/>
    <x v="2"/>
    <x v="20"/>
    <n v="52"/>
    <n v="85"/>
    <n v="68.5"/>
    <x v="0"/>
    <n v="52"/>
  </r>
  <r>
    <s v="Sr Software Engineer (Data Scientist)"/>
    <x v="1"/>
    <x v="0"/>
    <n v="3.4"/>
    <s v="Westlake, OH"/>
    <x v="158"/>
    <x v="1"/>
    <x v="15"/>
    <n v="81"/>
    <n v="140"/>
    <n v="110.5"/>
    <x v="2"/>
    <n v="43"/>
  </r>
  <r>
    <s v="Sr. Data Engineer (ETL Developer)"/>
    <x v="1"/>
    <x v="3"/>
    <n v="3.7"/>
    <s v="Des Moines, IA"/>
    <x v="159"/>
    <x v="4"/>
    <x v="15"/>
    <n v="83"/>
    <n v="148"/>
    <n v="115.5"/>
    <x v="2"/>
    <n v="-1"/>
  </r>
  <r>
    <s v="Associate Research Scientist I (Protein Expression and Production)"/>
    <x v="2"/>
    <x v="1"/>
    <n v="3"/>
    <s v="Alameda, CA"/>
    <x v="187"/>
    <x v="0"/>
    <x v="12"/>
    <n v="59"/>
    <n v="116"/>
    <n v="87.5"/>
    <x v="1"/>
    <n v="27"/>
  </r>
  <r>
    <s v="Senior Data Scientist Artificial Intelligence"/>
    <x v="1"/>
    <x v="0"/>
    <n v="3.8"/>
    <s v="Richland, WA"/>
    <x v="3"/>
    <x v="2"/>
    <x v="3"/>
    <n v="60"/>
    <n v="101"/>
    <n v="80.5"/>
    <x v="1"/>
    <n v="56"/>
  </r>
  <r>
    <s v="Analytics - Business Assurance Data Analyst"/>
    <x v="0"/>
    <x v="2"/>
    <n v="4.5999999999999996"/>
    <s v="Cedar Rapids, IA"/>
    <x v="160"/>
    <x v="0"/>
    <x v="42"/>
    <n v="31"/>
    <n v="55"/>
    <n v="43"/>
    <x v="5"/>
    <n v="29"/>
  </r>
  <r>
    <s v="Associate Director/Director, Safety Scientist"/>
    <x v="2"/>
    <x v="5"/>
    <n v="4.4000000000000004"/>
    <s v="Cambridge, MA"/>
    <x v="12"/>
    <x v="4"/>
    <x v="12"/>
    <n v="102"/>
    <n v="178"/>
    <n v="140"/>
    <x v="3"/>
    <n v="18"/>
  </r>
  <r>
    <s v="Director, Precision Medicine Clinical Biomarker Scientist"/>
    <x v="3"/>
    <x v="5"/>
    <n v="4"/>
    <s v="Cambridge, MA"/>
    <x v="12"/>
    <x v="1"/>
    <x v="12"/>
    <n v="136"/>
    <n v="208"/>
    <n v="172"/>
    <x v="4"/>
    <n v="172"/>
  </r>
  <r>
    <s v="Senior Scientist, Cell Pharmacology/Assay Development"/>
    <x v="1"/>
    <x v="0"/>
    <n v="-1"/>
    <s v="Cambridge, MA"/>
    <x v="12"/>
    <x v="7"/>
    <x v="21"/>
    <n v="110"/>
    <n v="130"/>
    <n v="120"/>
    <x v="2"/>
    <n v="-1"/>
  </r>
  <r>
    <s v="Data Analyst Senior"/>
    <x v="1"/>
    <x v="2"/>
    <n v="3"/>
    <s v="Philadelphia, PA"/>
    <x v="48"/>
    <x v="5"/>
    <x v="15"/>
    <n v="48"/>
    <n v="85"/>
    <n v="66.5"/>
    <x v="0"/>
    <n v="38"/>
  </r>
  <r>
    <s v="Senior Formulations Scientist II"/>
    <x v="1"/>
    <x v="0"/>
    <n v="3"/>
    <s v="Alameda, CA"/>
    <x v="187"/>
    <x v="0"/>
    <x v="12"/>
    <n v="71"/>
    <n v="129"/>
    <n v="100"/>
    <x v="2"/>
    <n v="27"/>
  </r>
  <r>
    <s v="Lead Data Engineer (Python)"/>
    <x v="1"/>
    <x v="3"/>
    <n v="4.7"/>
    <s v="San Francisco, CA"/>
    <x v="15"/>
    <x v="3"/>
    <x v="27"/>
    <n v="66"/>
    <n v="123"/>
    <n v="94.5"/>
    <x v="1"/>
    <n v="15"/>
  </r>
  <r>
    <s v="Data Science Manager"/>
    <x v="3"/>
    <x v="6"/>
    <n v="4.2"/>
    <s v="San Francisco, CA"/>
    <x v="15"/>
    <x v="0"/>
    <x v="1"/>
    <n v="171"/>
    <n v="272"/>
    <n v="221.5"/>
    <x v="4"/>
    <n v="10"/>
  </r>
  <r>
    <s v="Senior Data Scientist 4 Artificial Intelligence"/>
    <x v="1"/>
    <x v="0"/>
    <n v="3.8"/>
    <s v="Seattle, WA"/>
    <x v="11"/>
    <x v="2"/>
    <x v="3"/>
    <n v="92"/>
    <n v="146"/>
    <n v="119"/>
    <x v="2"/>
    <n v="56"/>
  </r>
  <r>
    <s v="Data Engineer"/>
    <x v="0"/>
    <x v="3"/>
    <n v="3.5"/>
    <s v="Chicago, IL"/>
    <x v="17"/>
    <x v="4"/>
    <x v="7"/>
    <n v="65"/>
    <n v="126"/>
    <n v="95.5"/>
    <x v="1"/>
    <n v="26"/>
  </r>
  <r>
    <s v="Director II, Data Science - GRS Predictive Analytics"/>
    <x v="3"/>
    <x v="5"/>
    <n v="3.3"/>
    <s v="Chicago, IL"/>
    <x v="17"/>
    <x v="1"/>
    <x v="15"/>
    <n v="150"/>
    <n v="239"/>
    <n v="194.5"/>
    <x v="4"/>
    <n v="109"/>
  </r>
  <r>
    <s v="Medical Lab Scientist - MLT"/>
    <x v="0"/>
    <x v="0"/>
    <n v="3.2"/>
    <s v="Omaha, NE"/>
    <x v="74"/>
    <x v="1"/>
    <x v="1"/>
    <n v="43"/>
    <n v="60"/>
    <n v="51.5"/>
    <x v="0"/>
    <n v="25"/>
  </r>
  <r>
    <s v="Senior Operations Data Analyst, Call Center Operations"/>
    <x v="1"/>
    <x v="2"/>
    <n v="2.7"/>
    <s v="Nashville, TN"/>
    <x v="120"/>
    <x v="5"/>
    <x v="25"/>
    <n v="20"/>
    <n v="35"/>
    <n v="27.5"/>
    <x v="5"/>
    <n v="21"/>
  </r>
  <r>
    <s v="Senior Quantitative Analyst"/>
    <x v="1"/>
    <x v="0"/>
    <n v="3.3"/>
    <s v="Jersey City, NJ"/>
    <x v="163"/>
    <x v="2"/>
    <x v="37"/>
    <n v="118"/>
    <n v="228"/>
    <n v="173"/>
    <x v="4"/>
    <n v="48"/>
  </r>
  <r>
    <s v="Geospatial Software Developer and Data Scientist"/>
    <x v="0"/>
    <x v="0"/>
    <n v="3.7"/>
    <s v="Austin, TX"/>
    <x v="123"/>
    <x v="0"/>
    <x v="40"/>
    <n v="82"/>
    <n v="129"/>
    <n v="105.5"/>
    <x v="2"/>
    <n v="-1"/>
  </r>
  <r>
    <s v="RESEARCH COMPUTER SCIENTIST - RESEARCH ENGINEER - SR. COMPUTER SCIENTIST - SOFTWARE DEVELOPMENT"/>
    <x v="1"/>
    <x v="1"/>
    <n v="3.9"/>
    <s v="San Antonio, TX"/>
    <x v="135"/>
    <x v="2"/>
    <x v="10"/>
    <n v="52"/>
    <n v="91"/>
    <n v="71.5"/>
    <x v="0"/>
    <n v="74"/>
  </r>
  <r>
    <s v="Senior Scientist - Toxicologist - Product Integrity (Stewardship)"/>
    <x v="1"/>
    <x v="0"/>
    <n v="3.1"/>
    <s v="Winston-Salem, NC"/>
    <x v="147"/>
    <x v="5"/>
    <x v="22"/>
    <n v="47"/>
    <n v="101"/>
    <n v="74"/>
    <x v="0"/>
    <n v="146"/>
  </r>
  <r>
    <s v="Systems Engineer II - Data Analyst"/>
    <x v="0"/>
    <x v="2"/>
    <n v="3.7"/>
    <s v="Huntsville, AL"/>
    <x v="39"/>
    <x v="1"/>
    <x v="0"/>
    <n v="49"/>
    <n v="76"/>
    <n v="62.5"/>
    <x v="0"/>
    <n v="99"/>
  </r>
  <r>
    <s v="Senior Research Analytical Scientist-Non-Targeted Analysis"/>
    <x v="1"/>
    <x v="1"/>
    <n v="4.3"/>
    <s v="Durham, NC"/>
    <x v="154"/>
    <x v="2"/>
    <x v="10"/>
    <n v="43"/>
    <n v="88"/>
    <n v="65.5"/>
    <x v="0"/>
    <n v="63"/>
  </r>
  <r>
    <s v="Data Scientist"/>
    <x v="0"/>
    <x v="0"/>
    <n v="3.8"/>
    <s v="Coraopolis, PA"/>
    <x v="45"/>
    <x v="1"/>
    <x v="26"/>
    <n v="61"/>
    <n v="109"/>
    <n v="85"/>
    <x v="1"/>
    <n v="73"/>
  </r>
  <r>
    <s v="Principal Data Scientist"/>
    <x v="1"/>
    <x v="0"/>
    <n v="3.9"/>
    <s v="Gaithersburg, MD"/>
    <x v="174"/>
    <x v="1"/>
    <x v="12"/>
    <n v="113"/>
    <n v="182"/>
    <n v="147.5"/>
    <x v="3"/>
    <n v="108"/>
  </r>
  <r>
    <s v="Director Data Science"/>
    <x v="3"/>
    <x v="5"/>
    <n v="3.6"/>
    <s v="Fort Lee, NJ"/>
    <x v="161"/>
    <x v="2"/>
    <x v="4"/>
    <n v="124"/>
    <n v="199"/>
    <n v="161.5"/>
    <x v="4"/>
    <n v="32"/>
  </r>
  <r>
    <s v="Data Engineer"/>
    <x v="0"/>
    <x v="3"/>
    <n v="3.7"/>
    <s v="Roanoke, VA"/>
    <x v="188"/>
    <x v="1"/>
    <x v="1"/>
    <n v="58"/>
    <n v="104"/>
    <n v="81"/>
    <x v="1"/>
    <n v="122"/>
  </r>
  <r>
    <s v="Sr Data Analyst - IT"/>
    <x v="1"/>
    <x v="2"/>
    <n v="2.1"/>
    <s v="Blue Bell, PA"/>
    <x v="162"/>
    <x v="2"/>
    <x v="12"/>
    <n v="52"/>
    <n v="93"/>
    <n v="72.5"/>
    <x v="0"/>
    <n v="18"/>
  </r>
  <r>
    <s v="Senior Data Engineer"/>
    <x v="1"/>
    <x v="3"/>
    <n v="3.9"/>
    <s v="San Francisco, CA"/>
    <x v="15"/>
    <x v="3"/>
    <x v="20"/>
    <n v="97"/>
    <n v="181"/>
    <n v="139"/>
    <x v="3"/>
    <n v="13"/>
  </r>
  <r>
    <s v="Senior Data Engineer"/>
    <x v="1"/>
    <x v="3"/>
    <n v="3.9"/>
    <s v="San Francisco, CA"/>
    <x v="15"/>
    <x v="4"/>
    <x v="8"/>
    <n v="100"/>
    <n v="173"/>
    <n v="136.5"/>
    <x v="3"/>
    <n v="14"/>
  </r>
  <r>
    <s v="Sr. Data Analyst"/>
    <x v="1"/>
    <x v="2"/>
    <n v="3.2"/>
    <s v="New York, NY"/>
    <x v="4"/>
    <x v="4"/>
    <x v="8"/>
    <n v="58"/>
    <n v="108"/>
    <n v="83"/>
    <x v="1"/>
    <n v="13"/>
  </r>
  <r>
    <s v="Research Scientist or Senior Research Scientist - Computer Vision"/>
    <x v="1"/>
    <x v="1"/>
    <n v="4.5999999999999996"/>
    <s v="Cambridge, MA"/>
    <x v="12"/>
    <x v="3"/>
    <x v="10"/>
    <n v="81"/>
    <n v="161"/>
    <n v="121"/>
    <x v="2"/>
    <n v="30"/>
  </r>
  <r>
    <s v="Associate Machine Learning Engineer / Data Scientist May 2020 Undergrad"/>
    <x v="2"/>
    <x v="4"/>
    <n v="3.8"/>
    <s v="New York, NY"/>
    <x v="4"/>
    <x v="2"/>
    <x v="38"/>
    <n v="53"/>
    <n v="96"/>
    <n v="74.5"/>
    <x v="0"/>
    <n v="19"/>
  </r>
  <r>
    <s v="Data Analyst Chemist - Quality System Contractor"/>
    <x v="0"/>
    <x v="2"/>
    <n v="2.2000000000000002"/>
    <s v="San Francisco, CA"/>
    <x v="15"/>
    <x v="0"/>
    <x v="59"/>
    <n v="61"/>
    <n v="110"/>
    <n v="85.5"/>
    <x v="1"/>
    <n v="19"/>
  </r>
  <r>
    <s v="Senior Scientist - Biostatistician"/>
    <x v="1"/>
    <x v="0"/>
    <n v="3.1"/>
    <s v="Winston-Salem, NC"/>
    <x v="147"/>
    <x v="5"/>
    <x v="22"/>
    <n v="65"/>
    <n v="96"/>
    <n v="80.5"/>
    <x v="1"/>
    <n v="146"/>
  </r>
  <r>
    <s v="Research Scientist / Principal Research Scientist - Multiphysical Systems"/>
    <x v="1"/>
    <x v="1"/>
    <n v="4.5999999999999996"/>
    <s v="Cambridge, MA"/>
    <x v="12"/>
    <x v="3"/>
    <x v="10"/>
    <n v="115"/>
    <n v="220"/>
    <n v="167.5"/>
    <x v="4"/>
    <n v="30"/>
  </r>
  <r>
    <s v="Research Scientist, Machine Learning Department"/>
    <x v="0"/>
    <x v="4"/>
    <n v="2.6"/>
    <s v="Pittsburgh, PA"/>
    <x v="54"/>
    <x v="0"/>
    <x v="40"/>
    <n v="71"/>
    <n v="144"/>
    <n v="107.5"/>
    <x v="2"/>
    <n v="37"/>
  </r>
  <r>
    <s v="Foundational Community Supports Data Analyst"/>
    <x v="0"/>
    <x v="2"/>
    <n v="3.4"/>
    <s v="Seattle, WA"/>
    <x v="11"/>
    <x v="0"/>
    <x v="49"/>
    <n v="32"/>
    <n v="57"/>
    <n v="44.5"/>
    <x v="5"/>
    <n v="42"/>
  </r>
  <r>
    <s v="Senior Health Data Analyst, Star Ratings"/>
    <x v="1"/>
    <x v="2"/>
    <n v="3.3"/>
    <s v="Glen Burnie, MD"/>
    <x v="189"/>
    <x v="2"/>
    <x v="1"/>
    <n v="79"/>
    <n v="136"/>
    <n v="107.5"/>
    <x v="2"/>
    <n v="132"/>
  </r>
  <r>
    <s v="Principal Research Scientist/Team Lead, Medicinal Chemistry - Oncology"/>
    <x v="1"/>
    <x v="1"/>
    <n v="-1"/>
    <s v="Cambridge, MA"/>
    <x v="12"/>
    <x v="7"/>
    <x v="21"/>
    <n v="120"/>
    <n v="145"/>
    <n v="132.5"/>
    <x v="3"/>
    <n v="-1"/>
  </r>
  <r>
    <s v="Sr. Data Analyst"/>
    <x v="1"/>
    <x v="2"/>
    <n v="3.7"/>
    <s v="Philadelphia, PA"/>
    <x v="48"/>
    <x v="4"/>
    <x v="1"/>
    <n v="50"/>
    <n v="89"/>
    <n v="69.5"/>
    <x v="0"/>
    <n v="27"/>
  </r>
  <r>
    <s v="Senior Engineer, Data Management Engineering"/>
    <x v="1"/>
    <x v="0"/>
    <n v="3.5"/>
    <s v="Milpitas, CA"/>
    <x v="190"/>
    <x v="1"/>
    <x v="20"/>
    <n v="68"/>
    <n v="129"/>
    <n v="98.5"/>
    <x v="1"/>
    <n v="51"/>
  </r>
  <r>
    <s v="Quality Control Scientist III- Analytical Development"/>
    <x v="0"/>
    <x v="0"/>
    <n v="2.7"/>
    <s v="Rockville, MD"/>
    <x v="76"/>
    <x v="4"/>
    <x v="12"/>
    <n v="48"/>
    <n v="113"/>
    <n v="80.5"/>
    <x v="1"/>
    <n v="60"/>
  </r>
  <r>
    <s v="Clinical Scientist, Clinical Development"/>
    <x v="0"/>
    <x v="0"/>
    <n v="3.8"/>
    <s v="Watertown, MA"/>
    <x v="191"/>
    <x v="3"/>
    <x v="12"/>
    <n v="56"/>
    <n v="97"/>
    <n v="76.5"/>
    <x v="1"/>
    <n v="13"/>
  </r>
  <r>
    <s v="Software Engineer Staff Scientist: Human Language Technologies"/>
    <x v="0"/>
    <x v="0"/>
    <n v="3.7"/>
    <s v="Cambridge, MD"/>
    <x v="12"/>
    <x v="1"/>
    <x v="0"/>
    <n v="74"/>
    <n v="124"/>
    <n v="99"/>
    <x v="1"/>
    <n v="99"/>
  </r>
  <r>
    <s v="Manager, Safety Scientist, Medical Safety &amp; Risk Management"/>
    <x v="3"/>
    <x v="6"/>
    <n v="3.8"/>
    <s v="Cambridge, MA"/>
    <x v="12"/>
    <x v="0"/>
    <x v="12"/>
    <n v="68"/>
    <n v="125"/>
    <n v="96.5"/>
    <x v="1"/>
    <n v="13"/>
  </r>
  <r>
    <s v="Assistant Director/Director, Office of Data Science"/>
    <x v="3"/>
    <x v="5"/>
    <n v="3.3"/>
    <s v="Boston, MA"/>
    <x v="38"/>
    <x v="1"/>
    <x v="15"/>
    <n v="39"/>
    <n v="67"/>
    <n v="53"/>
    <x v="0"/>
    <n v="109"/>
  </r>
  <r>
    <s v="Sr. Data Engineer | Big Data SaaS Pipeline"/>
    <x v="1"/>
    <x v="3"/>
    <n v="2.7"/>
    <s v="Los Angeles, CA"/>
    <x v="78"/>
    <x v="6"/>
    <x v="14"/>
    <n v="71"/>
    <n v="135"/>
    <n v="103"/>
    <x v="2"/>
    <n v="10"/>
  </r>
  <r>
    <s v="Senior Risk Data Scientist"/>
    <x v="1"/>
    <x v="0"/>
    <n v="3.8"/>
    <s v="Palo Alto, CA"/>
    <x v="44"/>
    <x v="0"/>
    <x v="25"/>
    <n v="107"/>
    <n v="172"/>
    <n v="139.5"/>
    <x v="3"/>
    <n v="15"/>
  </r>
  <r>
    <s v="Data Scientist in Artificial Intelligence Early Career"/>
    <x v="0"/>
    <x v="0"/>
    <n v="3.8"/>
    <s v="Richland, WA"/>
    <x v="3"/>
    <x v="2"/>
    <x v="3"/>
    <n v="49"/>
    <n v="85"/>
    <n v="67"/>
    <x v="0"/>
    <n v="56"/>
  </r>
  <r>
    <s v="Consultant - Analytics Consulting"/>
    <x v="0"/>
    <x v="0"/>
    <n v="3"/>
    <s v="Hartford, CT"/>
    <x v="141"/>
    <x v="1"/>
    <x v="19"/>
    <n v="54"/>
    <n v="71"/>
    <n v="62.5"/>
    <x v="0"/>
    <n v="40"/>
  </r>
  <r>
    <s v="Scientist - CVRM Metabolism - in vivo pharmacology"/>
    <x v="0"/>
    <x v="0"/>
    <n v="3.9"/>
    <s v="Gaithersburg, MD"/>
    <x v="174"/>
    <x v="1"/>
    <x v="12"/>
    <n v="61"/>
    <n v="123"/>
    <n v="92"/>
    <x v="1"/>
    <n v="108"/>
  </r>
  <r>
    <s v="Data Analyst"/>
    <x v="0"/>
    <x v="2"/>
    <n v="3.6"/>
    <s v="New York, NY"/>
    <x v="4"/>
    <x v="6"/>
    <x v="1"/>
    <n v="47"/>
    <n v="85"/>
    <n v="66"/>
    <x v="0"/>
    <n v="41"/>
  </r>
  <r>
    <s v="Data Engineer"/>
    <x v="0"/>
    <x v="3"/>
    <n v="3.5"/>
    <s v="Orange, CA"/>
    <x v="142"/>
    <x v="0"/>
    <x v="1"/>
    <n v="65"/>
    <n v="124"/>
    <n v="94.5"/>
    <x v="1"/>
    <n v="8"/>
  </r>
  <r>
    <s v="Data Scientist"/>
    <x v="0"/>
    <x v="0"/>
    <n v="3.6"/>
    <s v="Fort Lee, NJ"/>
    <x v="161"/>
    <x v="2"/>
    <x v="4"/>
    <n v="87"/>
    <n v="141"/>
    <n v="114"/>
    <x v="2"/>
    <n v="32"/>
  </r>
  <r>
    <s v="Data Scientist"/>
    <x v="0"/>
    <x v="0"/>
    <n v="4.2"/>
    <s v="New York, NY"/>
    <x v="4"/>
    <x v="3"/>
    <x v="32"/>
    <n v="56"/>
    <n v="95"/>
    <n v="75.5"/>
    <x v="1"/>
    <n v="9"/>
  </r>
  <r>
    <s v="Data Scientist"/>
    <x v="0"/>
    <x v="0"/>
    <n v="3.5"/>
    <s v="Maryland Heights, MO"/>
    <x v="52"/>
    <x v="6"/>
    <x v="51"/>
    <n v="71"/>
    <n v="121"/>
    <n v="96"/>
    <x v="1"/>
    <n v="-1"/>
  </r>
  <r>
    <s v="Machine Learning Engineer"/>
    <x v="0"/>
    <x v="4"/>
    <n v="4"/>
    <s v="Fort Belvoir, VA"/>
    <x v="65"/>
    <x v="0"/>
    <x v="0"/>
    <n v="62"/>
    <n v="112"/>
    <n v="87"/>
    <x v="1"/>
    <n v="67"/>
  </r>
  <r>
    <s v="Data Scientist"/>
    <x v="0"/>
    <x v="0"/>
    <n v="3.7"/>
    <s v="Silver Spring, MD"/>
    <x v="67"/>
    <x v="4"/>
    <x v="19"/>
    <n v="64"/>
    <n v="108"/>
    <n v="86"/>
    <x v="1"/>
    <n v="15"/>
  </r>
  <r>
    <s v="Senior Data Scientist"/>
    <x v="1"/>
    <x v="0"/>
    <n v="4.4000000000000004"/>
    <s v="Palo Alto, CA"/>
    <x v="44"/>
    <x v="6"/>
    <x v="8"/>
    <n v="89"/>
    <n v="144"/>
    <n v="116.5"/>
    <x v="2"/>
    <n v="9"/>
  </r>
  <r>
    <s v="Senior Scientist (Neuroscience)"/>
    <x v="1"/>
    <x v="0"/>
    <n v="3.5"/>
    <s v="Marlborough, MA"/>
    <x v="30"/>
    <x v="2"/>
    <x v="12"/>
    <n v="109"/>
    <n v="200"/>
    <n v="154.5"/>
    <x v="4"/>
    <n v="11"/>
  </r>
  <r>
    <s v="Marketing Data Analyst"/>
    <x v="0"/>
    <x v="2"/>
    <n v="3.6"/>
    <s v="Highland, CA"/>
    <x v="108"/>
    <x v="2"/>
    <x v="43"/>
    <n v="35"/>
    <n v="62"/>
    <n v="48.5"/>
    <x v="5"/>
    <n v="35"/>
  </r>
  <r>
    <s v="Machine Learning Engineer - Regulatory"/>
    <x v="0"/>
    <x v="4"/>
    <n v="3.7"/>
    <s v="Lenexa, KS"/>
    <x v="143"/>
    <x v="0"/>
    <x v="53"/>
    <n v="61"/>
    <n v="113"/>
    <n v="87"/>
    <x v="1"/>
    <n v="48"/>
  </r>
  <r>
    <s v="Data Engineer"/>
    <x v="0"/>
    <x v="3"/>
    <n v="3.4"/>
    <s v="Houston, TX"/>
    <x v="69"/>
    <x v="0"/>
    <x v="19"/>
    <n v="55"/>
    <n v="105"/>
    <n v="80"/>
    <x v="1"/>
    <n v="19"/>
  </r>
  <r>
    <s v="Medical Laboratory Scientist"/>
    <x v="0"/>
    <x v="0"/>
    <n v="4"/>
    <s v="Burleson, TX"/>
    <x v="109"/>
    <x v="2"/>
    <x v="1"/>
    <n v="37"/>
    <n v="52"/>
    <n v="44.5"/>
    <x v="5"/>
    <n v="44"/>
  </r>
  <r>
    <s v="Principal Data Scientist"/>
    <x v="1"/>
    <x v="0"/>
    <n v="3.7"/>
    <s v="San Jose, CA"/>
    <x v="7"/>
    <x v="1"/>
    <x v="0"/>
    <n v="135"/>
    <n v="211"/>
    <n v="173"/>
    <x v="4"/>
    <n v="82"/>
  </r>
  <r>
    <s v="R&amp;D Specialist/ Food Scientist"/>
    <x v="0"/>
    <x v="0"/>
    <n v="2.4"/>
    <s v="Hoopeston, IL"/>
    <x v="110"/>
    <x v="0"/>
    <x v="44"/>
    <n v="39"/>
    <n v="66"/>
    <n v="52.5"/>
    <x v="0"/>
    <n v="-1"/>
  </r>
  <r>
    <s v="Data Engineer"/>
    <x v="0"/>
    <x v="3"/>
    <n v="3.5"/>
    <s v="Phoenix, AZ"/>
    <x v="73"/>
    <x v="0"/>
    <x v="12"/>
    <n v="57"/>
    <n v="80"/>
    <n v="68.5"/>
    <x v="0"/>
    <n v="24"/>
  </r>
  <r>
    <s v="Associate Principal Scientist, Pharmacogenomics"/>
    <x v="1"/>
    <x v="0"/>
    <n v="3.9"/>
    <s v="Gaithersburg, MD"/>
    <x v="174"/>
    <x v="1"/>
    <x v="12"/>
    <n v="63"/>
    <n v="127"/>
    <n v="95"/>
    <x v="1"/>
    <n v="108"/>
  </r>
  <r>
    <s v="Data Scientist - Systems Engineering"/>
    <x v="0"/>
    <x v="0"/>
    <n v="3.2"/>
    <s v="Bedford, MA"/>
    <x v="175"/>
    <x v="5"/>
    <x v="31"/>
    <n v="50"/>
    <n v="89"/>
    <n v="69.5"/>
    <x v="0"/>
    <n v="63"/>
  </r>
  <r>
    <s v="Senior Data Scientist"/>
    <x v="1"/>
    <x v="0"/>
    <n v="4.4000000000000004"/>
    <s v="Cincinnati, OH"/>
    <x v="43"/>
    <x v="4"/>
    <x v="24"/>
    <n v="82"/>
    <n v="132"/>
    <n v="107"/>
    <x v="2"/>
    <n v="136"/>
  </r>
  <r>
    <s v="Data Scientist SR"/>
    <x v="1"/>
    <x v="0"/>
    <n v="3.9"/>
    <s v="Charlottesville, VA"/>
    <x v="53"/>
    <x v="0"/>
    <x v="19"/>
    <n v="85"/>
    <n v="139"/>
    <n v="112"/>
    <x v="2"/>
    <n v="11"/>
  </r>
  <r>
    <s v="Data Scientist"/>
    <x v="0"/>
    <x v="0"/>
    <n v="3.4"/>
    <s v="Washington, DC"/>
    <x v="32"/>
    <x v="3"/>
    <x v="7"/>
    <n v="72"/>
    <n v="121"/>
    <n v="96.5"/>
    <x v="1"/>
    <n v="24"/>
  </r>
  <r>
    <s v="Scientist, Bacteriology"/>
    <x v="0"/>
    <x v="0"/>
    <n v="2.1"/>
    <s v="Concord, CA"/>
    <x v="144"/>
    <x v="4"/>
    <x v="12"/>
    <n v="74"/>
    <n v="149"/>
    <n v="111.5"/>
    <x v="2"/>
    <n v="-1"/>
  </r>
  <r>
    <s v="Associate Director, Platform and DevOps- Data Engineering and Aritifical Intelligence"/>
    <x v="2"/>
    <x v="3"/>
    <n v="3.7"/>
    <s v="Cambridge, MA"/>
    <x v="12"/>
    <x v="1"/>
    <x v="12"/>
    <n v="113"/>
    <n v="196"/>
    <n v="154.5"/>
    <x v="4"/>
    <n v="240"/>
  </r>
  <r>
    <s v="Data Scientist"/>
    <x v="0"/>
    <x v="0"/>
    <n v="3.4"/>
    <s v="New York, NY"/>
    <x v="4"/>
    <x v="4"/>
    <x v="1"/>
    <n v="69"/>
    <n v="121"/>
    <n v="95"/>
    <x v="1"/>
    <n v="10"/>
  </r>
  <r>
    <s v="Data Scientist"/>
    <x v="0"/>
    <x v="0"/>
    <n v="4"/>
    <s v="New York, NY"/>
    <x v="4"/>
    <x v="0"/>
    <x v="58"/>
    <n v="71"/>
    <n v="124"/>
    <n v="97.5"/>
    <x v="1"/>
    <n v="14"/>
  </r>
  <r>
    <s v="Senior Data Scientist"/>
    <x v="1"/>
    <x v="0"/>
    <n v="4.4000000000000004"/>
    <s v="Chicago, IL"/>
    <x v="17"/>
    <x v="4"/>
    <x v="7"/>
    <n v="97"/>
    <n v="160"/>
    <n v="128.5"/>
    <x v="3"/>
    <n v="13"/>
  </r>
  <r>
    <s v="Senior Research Scientist-Machine Learning"/>
    <x v="1"/>
    <x v="4"/>
    <n v="2.6"/>
    <s v="Pittsburgh, PA"/>
    <x v="54"/>
    <x v="0"/>
    <x v="40"/>
    <n v="81"/>
    <n v="167"/>
    <n v="124"/>
    <x v="2"/>
    <n v="37"/>
  </r>
  <r>
    <s v="Principal Data Scientist"/>
    <x v="1"/>
    <x v="0"/>
    <n v="3.2"/>
    <s v="San Francisco, CA"/>
    <x v="15"/>
    <x v="0"/>
    <x v="14"/>
    <n v="150"/>
    <n v="238"/>
    <n v="194"/>
    <x v="4"/>
    <n v="15"/>
  </r>
  <r>
    <s v="Clinical Laboratory Scientist"/>
    <x v="0"/>
    <x v="0"/>
    <n v="3.7"/>
    <s v="Vail, CO"/>
    <x v="145"/>
    <x v="0"/>
    <x v="1"/>
    <n v="49"/>
    <n v="81"/>
    <n v="65"/>
    <x v="0"/>
    <n v="55"/>
  </r>
  <r>
    <s v="Data Analyst 1, full-time contract worker for up to 12 months"/>
    <x v="0"/>
    <x v="2"/>
    <n v="4.2"/>
    <s v="Salt Lake City, UT"/>
    <x v="105"/>
    <x v="1"/>
    <x v="39"/>
    <n v="35"/>
    <n v="65"/>
    <n v="50"/>
    <x v="0"/>
    <n v="-1"/>
  </r>
  <r>
    <s v="Data Scientist"/>
    <x v="0"/>
    <x v="0"/>
    <n v="3.5"/>
    <s v="New York, NY"/>
    <x v="4"/>
    <x v="4"/>
    <x v="4"/>
    <n v="77"/>
    <n v="132"/>
    <n v="104.5"/>
    <x v="2"/>
    <n v="16"/>
  </r>
  <r>
    <s v="Data Scientist"/>
    <x v="0"/>
    <x v="0"/>
    <n v="4.3"/>
    <s v="Phoenix, AZ"/>
    <x v="73"/>
    <x v="4"/>
    <x v="19"/>
    <n v="51"/>
    <n v="88"/>
    <n v="69.5"/>
    <x v="0"/>
    <n v="52"/>
  </r>
  <r>
    <s v="Data Scientist"/>
    <x v="0"/>
    <x v="0"/>
    <n v="2.6"/>
    <s v="Irvine, CA"/>
    <x v="192"/>
    <x v="1"/>
    <x v="40"/>
    <n v="101"/>
    <n v="141"/>
    <n v="121"/>
    <x v="2"/>
    <n v="24"/>
  </r>
  <r>
    <s v="Data Engineer - Consultant (Charlotte Based)"/>
    <x v="0"/>
    <x v="3"/>
    <n v="4.2"/>
    <s v="Charlotte, NC"/>
    <x v="70"/>
    <x v="4"/>
    <x v="19"/>
    <n v="59"/>
    <n v="112"/>
    <n v="85.5"/>
    <x v="1"/>
    <n v="13"/>
  </r>
  <r>
    <s v="Data Engineer"/>
    <x v="0"/>
    <x v="3"/>
    <n v="3.1"/>
    <s v="Aliso Viejo, CA"/>
    <x v="176"/>
    <x v="2"/>
    <x v="47"/>
    <n v="79"/>
    <n v="147"/>
    <n v="113"/>
    <x v="2"/>
    <n v="24"/>
  </r>
  <r>
    <s v="Data Scientist (Warehouse Automation)"/>
    <x v="0"/>
    <x v="0"/>
    <n v="3.8"/>
    <s v="San Francisco, CA"/>
    <x v="15"/>
    <x v="4"/>
    <x v="22"/>
    <n v="79"/>
    <n v="127"/>
    <n v="103"/>
    <x v="2"/>
    <n v="16"/>
  </r>
  <r>
    <s v="Scientist, Immuno-Oncology"/>
    <x v="0"/>
    <x v="0"/>
    <n v="3.9"/>
    <s v="Cambridge, MA"/>
    <x v="12"/>
    <x v="1"/>
    <x v="12"/>
    <n v="62"/>
    <n v="119"/>
    <n v="90.5"/>
    <x v="1"/>
    <n v="191"/>
  </r>
  <r>
    <s v="Senior Data Scientist"/>
    <x v="1"/>
    <x v="0"/>
    <n v="4.3"/>
    <s v="Los Angeles, CA"/>
    <x v="78"/>
    <x v="3"/>
    <x v="20"/>
    <n v="119"/>
    <n v="187"/>
    <n v="153"/>
    <x v="4"/>
    <n v="13"/>
  </r>
  <r>
    <s v="Jr. Data Scientist"/>
    <x v="2"/>
    <x v="0"/>
    <n v="3.2"/>
    <s v="McLean, VA"/>
    <x v="64"/>
    <x v="5"/>
    <x v="31"/>
    <n v="81"/>
    <n v="132"/>
    <n v="106.5"/>
    <x v="2"/>
    <n v="63"/>
  </r>
  <r>
    <s v="Senior Data Scientist"/>
    <x v="1"/>
    <x v="0"/>
    <n v="5"/>
    <s v="Ann Arbor, MI"/>
    <x v="193"/>
    <x v="3"/>
    <x v="20"/>
    <n v="120"/>
    <n v="140"/>
    <n v="130"/>
    <x v="3"/>
    <n v="10"/>
  </r>
  <r>
    <s v="Products Data Analyst II"/>
    <x v="0"/>
    <x v="2"/>
    <n v="3.3"/>
    <s v="Dublin, CA"/>
    <x v="177"/>
    <x v="2"/>
    <x v="7"/>
    <n v="90"/>
    <n v="157"/>
    <n v="123.5"/>
    <x v="2"/>
    <n v="33"/>
  </r>
  <r>
    <s v="Data Architect / Data Modeler"/>
    <x v="0"/>
    <x v="0"/>
    <n v="4.3"/>
    <s v="New York, NY"/>
    <x v="4"/>
    <x v="2"/>
    <x v="14"/>
    <n v="63"/>
    <n v="110"/>
    <n v="86.5"/>
    <x v="1"/>
    <n v="22"/>
  </r>
  <r>
    <s v="Analytics Manager - Data Mart"/>
    <x v="3"/>
    <x v="6"/>
    <n v="3.5"/>
    <s v="Scotts Valley, CA"/>
    <x v="111"/>
    <x v="0"/>
    <x v="1"/>
    <n v="42"/>
    <n v="86"/>
    <n v="64"/>
    <x v="0"/>
    <n v="25"/>
  </r>
  <r>
    <s v="Lead Data Analyst"/>
    <x v="1"/>
    <x v="2"/>
    <n v="3.9"/>
    <s v="New York, NY"/>
    <x v="4"/>
    <x v="4"/>
    <x v="8"/>
    <n v="32"/>
    <n v="62"/>
    <n v="47"/>
    <x v="5"/>
    <n v="11"/>
  </r>
  <r>
    <s v="Data Science Engineer - Mobile"/>
    <x v="0"/>
    <x v="0"/>
    <n v="4"/>
    <s v="San Jose, CA"/>
    <x v="7"/>
    <x v="1"/>
    <x v="20"/>
    <n v="116"/>
    <n v="208"/>
    <n v="162"/>
    <x v="4"/>
    <n v="39"/>
  </r>
  <r>
    <s v="Senior Data Scientist Oncology"/>
    <x v="1"/>
    <x v="0"/>
    <n v="3.9"/>
    <s v="Gaithersburg, MD"/>
    <x v="174"/>
    <x v="1"/>
    <x v="12"/>
    <n v="107"/>
    <n v="173"/>
    <n v="140"/>
    <x v="3"/>
    <n v="108"/>
  </r>
  <r>
    <s v="Data Scientist"/>
    <x v="0"/>
    <x v="0"/>
    <n v="3.4"/>
    <s v="Olympia, WA"/>
    <x v="194"/>
    <x v="3"/>
    <x v="19"/>
    <n v="65"/>
    <n v="113"/>
    <n v="89"/>
    <x v="1"/>
    <n v="-1"/>
  </r>
  <r>
    <s v="Sr. Data Engineer - Contract-to-Hire (Java)"/>
    <x v="1"/>
    <x v="3"/>
    <n v="3"/>
    <s v="Knoxville, TN"/>
    <x v="112"/>
    <x v="1"/>
    <x v="45"/>
    <n v="69"/>
    <n v="127"/>
    <n v="98"/>
    <x v="1"/>
    <n v="63"/>
  </r>
  <r>
    <s v="Senior Data Scientist - R&amp;D Oncology"/>
    <x v="1"/>
    <x v="0"/>
    <n v="3.9"/>
    <s v="New York, NY"/>
    <x v="4"/>
    <x v="1"/>
    <x v="12"/>
    <n v="102"/>
    <n v="172"/>
    <n v="137"/>
    <x v="3"/>
    <n v="108"/>
  </r>
  <r>
    <s v="Data Engineer"/>
    <x v="0"/>
    <x v="3"/>
    <n v="4"/>
    <s v="Denver, CO"/>
    <x v="16"/>
    <x v="0"/>
    <x v="15"/>
    <n v="74"/>
    <n v="124"/>
    <n v="99"/>
    <x v="1"/>
    <n v="106"/>
  </r>
  <r>
    <s v="Food Scientist - Developer"/>
    <x v="0"/>
    <x v="0"/>
    <n v="3.3"/>
    <s v="Milwaukee, WI"/>
    <x v="66"/>
    <x v="0"/>
    <x v="44"/>
    <n v="40"/>
    <n v="68"/>
    <n v="54"/>
    <x v="0"/>
    <n v="57"/>
  </r>
  <r>
    <s v="Senior Data Engineer"/>
    <x v="1"/>
    <x v="3"/>
    <n v="3.2"/>
    <s v="Franklin, TN"/>
    <x v="179"/>
    <x v="2"/>
    <x v="1"/>
    <n v="76"/>
    <n v="142"/>
    <n v="109"/>
    <x v="2"/>
    <n v="17"/>
  </r>
  <r>
    <s v="Data Engineer"/>
    <x v="0"/>
    <x v="3"/>
    <n v="3.4"/>
    <s v="Rockville, MD"/>
    <x v="76"/>
    <x v="4"/>
    <x v="19"/>
    <n v="76"/>
    <n v="142"/>
    <n v="109"/>
    <x v="2"/>
    <n v="22"/>
  </r>
  <r>
    <s v="Senior Data Scientist"/>
    <x v="1"/>
    <x v="0"/>
    <n v="4.4000000000000004"/>
    <s v="Natick, MA"/>
    <x v="146"/>
    <x v="2"/>
    <x v="20"/>
    <n v="108"/>
    <n v="171"/>
    <n v="139.5"/>
    <x v="3"/>
    <n v="37"/>
  </r>
  <r>
    <s v="Director II, Data Science - GRM Actuarial"/>
    <x v="3"/>
    <x v="5"/>
    <n v="3.3"/>
    <s v="Chicago, IL"/>
    <x v="17"/>
    <x v="1"/>
    <x v="15"/>
    <n v="202"/>
    <n v="306"/>
    <n v="254"/>
    <x v="4"/>
    <n v="109"/>
  </r>
  <r>
    <s v="Machine Learning Engineer"/>
    <x v="0"/>
    <x v="4"/>
    <n v="3.2"/>
    <s v="New York, NY"/>
    <x v="4"/>
    <x v="2"/>
    <x v="20"/>
    <n v="91"/>
    <n v="159"/>
    <n v="125"/>
    <x v="3"/>
    <n v="46"/>
  </r>
  <r>
    <s v="Sr Expert Data Science, Advanced Visual Analytics (Associate level)"/>
    <x v="1"/>
    <x v="0"/>
    <n v="3.8"/>
    <s v="Cambridge, MA"/>
    <x v="12"/>
    <x v="1"/>
    <x v="12"/>
    <n v="80"/>
    <n v="133"/>
    <n v="106.5"/>
    <x v="2"/>
    <n v="25"/>
  </r>
  <r>
    <s v="MED TECH/LAB SCIENTIST- SOUTH COASTAL LAB"/>
    <x v="0"/>
    <x v="0"/>
    <n v="3.6"/>
    <s v="Millville, DE"/>
    <x v="113"/>
    <x v="2"/>
    <x v="1"/>
    <n v="43"/>
    <n v="70"/>
    <n v="56.5"/>
    <x v="0"/>
    <n v="86"/>
  </r>
  <r>
    <s v="Scientist, Molecular/Cellular Biologist"/>
    <x v="0"/>
    <x v="0"/>
    <n v="2.9"/>
    <s v="South San Francisco, CA"/>
    <x v="91"/>
    <x v="4"/>
    <x v="12"/>
    <n v="49"/>
    <n v="97"/>
    <n v="73"/>
    <x v="0"/>
    <n v="9"/>
  </r>
  <r>
    <s v="Staff Scientist-Downstream Process Development"/>
    <x v="0"/>
    <x v="0"/>
    <n v="2.7"/>
    <s v="Rockville, MD"/>
    <x v="76"/>
    <x v="4"/>
    <x v="12"/>
    <n v="49"/>
    <n v="113"/>
    <n v="81"/>
    <x v="1"/>
    <n v="60"/>
  </r>
  <r>
    <s v="Data Scientist"/>
    <x v="0"/>
    <x v="0"/>
    <n v="3.2"/>
    <s v="Philadelphia, PA"/>
    <x v="48"/>
    <x v="6"/>
    <x v="27"/>
    <n v="96"/>
    <n v="161"/>
    <n v="128.5"/>
    <x v="3"/>
    <n v="-1"/>
  </r>
  <r>
    <s v="Scientist - Analytical Services"/>
    <x v="0"/>
    <x v="0"/>
    <n v="3.1"/>
    <s v="Winston-Salem, NC"/>
    <x v="147"/>
    <x v="5"/>
    <x v="22"/>
    <n v="65"/>
    <n v="134"/>
    <n v="99.5"/>
    <x v="1"/>
    <n v="146"/>
  </r>
  <r>
    <s v="Associate Scientist / Sr. Associate Scientist, Antibody Discovery"/>
    <x v="1"/>
    <x v="0"/>
    <n v="4"/>
    <s v="South San Francisco, CA"/>
    <x v="91"/>
    <x v="0"/>
    <x v="12"/>
    <n v="59"/>
    <n v="125"/>
    <n v="92"/>
    <x v="1"/>
    <n v="15"/>
  </r>
  <r>
    <s v="Associate Data Analyst- Graduate Development Program"/>
    <x v="2"/>
    <x v="2"/>
    <n v="3.3"/>
    <s v="Richfield, OH"/>
    <x v="148"/>
    <x v="0"/>
    <x v="15"/>
    <n v="32"/>
    <n v="59"/>
    <n v="45.5"/>
    <x v="5"/>
    <n v="32"/>
  </r>
  <r>
    <s v="Sr. Data Engineer"/>
    <x v="1"/>
    <x v="3"/>
    <n v="4.5"/>
    <s v="Indianapolis, IN"/>
    <x v="50"/>
    <x v="3"/>
    <x v="7"/>
    <n v="87"/>
    <n v="158"/>
    <n v="122.5"/>
    <x v="2"/>
    <n v="25"/>
  </r>
  <r>
    <s v="Clinical Data Analyst"/>
    <x v="0"/>
    <x v="2"/>
    <n v="3"/>
    <s v="Tampa, FL"/>
    <x v="87"/>
    <x v="2"/>
    <x v="14"/>
    <n v="27"/>
    <n v="48"/>
    <n v="37.5"/>
    <x v="5"/>
    <n v="44"/>
  </r>
  <r>
    <s v="IT Associate Data Analyst"/>
    <x v="2"/>
    <x v="2"/>
    <n v="3.7"/>
    <s v="Worcester, MA"/>
    <x v="21"/>
    <x v="5"/>
    <x v="15"/>
    <n v="39"/>
    <n v="69"/>
    <n v="54"/>
    <x v="0"/>
    <n v="169"/>
  </r>
  <r>
    <s v="Business Data Analyst"/>
    <x v="0"/>
    <x v="2"/>
    <n v="3.8"/>
    <s v="New York, NY"/>
    <x v="4"/>
    <x v="2"/>
    <x v="38"/>
    <n v="36"/>
    <n v="71"/>
    <n v="53.5"/>
    <x v="0"/>
    <n v="19"/>
  </r>
  <r>
    <s v="Senior Insurance Data Scientist"/>
    <x v="1"/>
    <x v="0"/>
    <n v="3.9"/>
    <s v="Chicago, IL"/>
    <x v="17"/>
    <x v="5"/>
    <x v="30"/>
    <n v="107"/>
    <n v="173"/>
    <n v="140"/>
    <x v="3"/>
    <n v="53"/>
  </r>
  <r>
    <s v="Senior Data Science Systems Engineer"/>
    <x v="1"/>
    <x v="0"/>
    <n v="3.2"/>
    <s v="Hampton, VA"/>
    <x v="149"/>
    <x v="5"/>
    <x v="31"/>
    <n v="56"/>
    <n v="99"/>
    <n v="77.5"/>
    <x v="1"/>
    <n v="63"/>
  </r>
  <r>
    <s v="ENVIRONMENTAL ENGINEER/SCIENTIST"/>
    <x v="0"/>
    <x v="0"/>
    <n v="3.3"/>
    <s v="Cambridge, MA"/>
    <x v="12"/>
    <x v="6"/>
    <x v="54"/>
    <n v="52"/>
    <n v="58"/>
    <n v="55"/>
    <x v="0"/>
    <n v="45"/>
  </r>
  <r>
    <s v="Senior Scientist - Regulatory Submissions"/>
    <x v="1"/>
    <x v="0"/>
    <n v="3.1"/>
    <s v="Winston-Salem, NC"/>
    <x v="147"/>
    <x v="5"/>
    <x v="22"/>
    <n v="80"/>
    <n v="155"/>
    <n v="117.5"/>
    <x v="2"/>
    <n v="146"/>
  </r>
  <r>
    <s v="Scientist - Biomarker and Flow Cytometry"/>
    <x v="0"/>
    <x v="0"/>
    <n v="2.4"/>
    <s v="San Diego, CA"/>
    <x v="41"/>
    <x v="0"/>
    <x v="12"/>
    <n v="43"/>
    <n v="98"/>
    <n v="70.5"/>
    <x v="0"/>
    <n v="15"/>
  </r>
  <r>
    <s v="Revenue Analytics Manager"/>
    <x v="3"/>
    <x v="6"/>
    <n v="4.8"/>
    <s v="San Francisco, CA"/>
    <x v="15"/>
    <x v="3"/>
    <x v="20"/>
    <n v="45"/>
    <n v="78"/>
    <n v="61.5"/>
    <x v="0"/>
    <n v="10"/>
  </r>
  <r>
    <s v="Sr. Scientist Method Development"/>
    <x v="1"/>
    <x v="0"/>
    <n v="2.9"/>
    <s v="Marietta, GA"/>
    <x v="151"/>
    <x v="2"/>
    <x v="12"/>
    <n v="50"/>
    <n v="110"/>
    <n v="80"/>
    <x v="1"/>
    <n v="6"/>
  </r>
  <r>
    <s v="Associate Scientist, LC/MS Biologics"/>
    <x v="2"/>
    <x v="0"/>
    <n v="2.9"/>
    <s v="Ithaca, NY"/>
    <x v="150"/>
    <x v="2"/>
    <x v="12"/>
    <n v="44"/>
    <n v="96"/>
    <n v="70"/>
    <x v="0"/>
    <n v="6"/>
  </r>
  <r>
    <s v="Research Scientist, Immunology - Cancer Biology"/>
    <x v="0"/>
    <x v="1"/>
    <n v="-1"/>
    <s v="Cambridge, MA"/>
    <x v="12"/>
    <x v="7"/>
    <x v="21"/>
    <n v="100"/>
    <n v="140"/>
    <n v="120"/>
    <x v="2"/>
    <n v="-1"/>
  </r>
  <r>
    <s v="IT - Data Engineer II"/>
    <x v="0"/>
    <x v="3"/>
    <n v="3.4"/>
    <s v="Quincy, MA"/>
    <x v="152"/>
    <x v="2"/>
    <x v="15"/>
    <n v="61"/>
    <n v="119"/>
    <n v="90"/>
    <x v="1"/>
    <n v="33"/>
  </r>
  <r>
    <s v="Machine Learning Engineer (NLP)"/>
    <x v="0"/>
    <x v="4"/>
    <n v="4.0999999999999996"/>
    <s v="Palo Alto, CA"/>
    <x v="44"/>
    <x v="6"/>
    <x v="51"/>
    <n v="80"/>
    <n v="142"/>
    <n v="111"/>
    <x v="2"/>
    <n v="14"/>
  </r>
  <r>
    <s v="Senior Data Analyst"/>
    <x v="1"/>
    <x v="2"/>
    <n v="3.9"/>
    <s v="San Francisco, CA"/>
    <x v="15"/>
    <x v="3"/>
    <x v="20"/>
    <n v="99"/>
    <n v="178"/>
    <n v="138.5"/>
    <x v="3"/>
    <n v="13"/>
  </r>
  <r>
    <s v="Data Science Project Manager"/>
    <x v="3"/>
    <x v="6"/>
    <n v="3.6"/>
    <s v="Boston, MA"/>
    <x v="38"/>
    <x v="5"/>
    <x v="15"/>
    <n v="37"/>
    <n v="100"/>
    <n v="68.5"/>
    <x v="0"/>
    <n v="170"/>
  </r>
  <r>
    <s v="Data Engineer"/>
    <x v="0"/>
    <x v="3"/>
    <n v="3.9"/>
    <s v="San Francisco, CA"/>
    <x v="15"/>
    <x v="4"/>
    <x v="8"/>
    <n v="62"/>
    <n v="113"/>
    <n v="87.5"/>
    <x v="1"/>
    <n v="10"/>
  </r>
  <r>
    <s v="Principal, Data Science - Advanced Analytics"/>
    <x v="1"/>
    <x v="0"/>
    <n v="3.6"/>
    <s v="Plymouth Meeting, PA"/>
    <x v="180"/>
    <x v="1"/>
    <x v="12"/>
    <n v="86"/>
    <n v="137"/>
    <n v="111.5"/>
    <x v="2"/>
    <n v="4"/>
  </r>
  <r>
    <s v="Sr Scientist, Immuno-Oncology - Oncology"/>
    <x v="1"/>
    <x v="0"/>
    <n v="3.9"/>
    <s v="Cambridge, MA"/>
    <x v="12"/>
    <x v="1"/>
    <x v="12"/>
    <n v="58"/>
    <n v="111"/>
    <n v="84.5"/>
    <x v="1"/>
    <n v="191"/>
  </r>
  <r>
    <s v="Senior Data Engineer"/>
    <x v="1"/>
    <x v="3"/>
    <n v="4.4000000000000004"/>
    <s v="Nashville, TN"/>
    <x v="120"/>
    <x v="2"/>
    <x v="8"/>
    <n v="72"/>
    <n v="133"/>
    <n v="102.5"/>
    <x v="2"/>
    <n v="15"/>
  </r>
  <r>
    <s v="Project Scientist - Auton Lab, Robotics Institute"/>
    <x v="0"/>
    <x v="0"/>
    <n v="2.6"/>
    <s v="Pittsburgh, PA"/>
    <x v="54"/>
    <x v="0"/>
    <x v="40"/>
    <n v="56"/>
    <n v="91"/>
    <n v="73.5"/>
    <x v="0"/>
    <n v="37"/>
  </r>
  <r>
    <s v="Data Science Manager"/>
    <x v="3"/>
    <x v="6"/>
    <n v="3.2"/>
    <s v="Allentown, PA"/>
    <x v="181"/>
    <x v="6"/>
    <x v="27"/>
    <n v="95"/>
    <n v="160"/>
    <n v="127.5"/>
    <x v="3"/>
    <n v="-1"/>
  </r>
  <r>
    <s v="Research Scientist â€“ Security and Privacy"/>
    <x v="0"/>
    <x v="1"/>
    <n v="3.6"/>
    <s v="Beavercreek, OH"/>
    <x v="35"/>
    <x v="0"/>
    <x v="31"/>
    <n v="61"/>
    <n v="126"/>
    <n v="93.5"/>
    <x v="1"/>
    <n v="5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742">
  <r>
    <n v="3.8"/>
    <n v="72"/>
  </r>
  <r>
    <n v="3.4"/>
    <n v="87.5"/>
  </r>
  <r>
    <n v="4.8"/>
    <n v="85"/>
  </r>
  <r>
    <n v="3.8"/>
    <n v="76.5"/>
  </r>
  <r>
    <n v="2.9"/>
    <n v="114.5"/>
  </r>
  <r>
    <n v="3.4"/>
    <n v="95"/>
  </r>
  <r>
    <n v="4.0999999999999996"/>
    <n v="73.5"/>
  </r>
  <r>
    <n v="3.8"/>
    <n v="114"/>
  </r>
  <r>
    <n v="3.3"/>
    <n v="61"/>
  </r>
  <r>
    <n v="4.5999999999999996"/>
    <n v="140"/>
  </r>
  <r>
    <n v="3.5"/>
    <n v="163.5"/>
  </r>
  <r>
    <n v="4.0999999999999996"/>
    <n v="85"/>
  </r>
  <r>
    <n v="3.2"/>
    <n v="139"/>
  </r>
  <r>
    <n v="4.0999999999999996"/>
    <n v="65.5"/>
  </r>
  <r>
    <n v="3.7"/>
    <n v="113.5"/>
  </r>
  <r>
    <n v="3.6"/>
    <n v="146"/>
  </r>
  <r>
    <n v="3.9"/>
    <n v="102"/>
  </r>
  <r>
    <n v="4.3"/>
    <n v="153.5"/>
  </r>
  <r>
    <n v="4.2"/>
    <n v="142.5"/>
  </r>
  <r>
    <n v="4"/>
    <n v="87.5"/>
  </r>
  <r>
    <n v="3.2"/>
    <n v="105.5"/>
  </r>
  <r>
    <n v="3.9"/>
    <n v="96"/>
  </r>
  <r>
    <n v="3.8"/>
    <n v="112.5"/>
  </r>
  <r>
    <n v="4.3"/>
    <n v="84"/>
  </r>
  <r>
    <n v="4"/>
    <n v="143"/>
  </r>
  <r>
    <n v="4"/>
    <n v="86.5"/>
  </r>
  <r>
    <n v="3.5"/>
    <n v="99.5"/>
  </r>
  <r>
    <n v="3.7"/>
    <n v="47.5"/>
  </r>
  <r>
    <n v="4"/>
    <n v="84"/>
  </r>
  <r>
    <n v="4.8"/>
    <n v="85"/>
  </r>
  <r>
    <n v="3.8"/>
    <n v="76.5"/>
  </r>
  <r>
    <n v="3.6"/>
    <n v="96"/>
  </r>
  <r>
    <n v="3.8"/>
    <n v="114.5"/>
  </r>
  <r>
    <n v="3.8"/>
    <n v="121"/>
  </r>
  <r>
    <n v="4.7"/>
    <n v="112.5"/>
  </r>
  <r>
    <n v="4.2"/>
    <n v="106"/>
  </r>
  <r>
    <n v="3.5"/>
    <n v="107"/>
  </r>
  <r>
    <n v="4.7"/>
    <n v="110"/>
  </r>
  <r>
    <n v="3.5"/>
    <n v="147.5"/>
  </r>
  <r>
    <n v="3.5"/>
    <n v="106"/>
  </r>
  <r>
    <n v="4.2"/>
    <n v="88"/>
  </r>
  <r>
    <n v="3.6"/>
    <n v="98.5"/>
  </r>
  <r>
    <n v="4.2"/>
    <n v="142.5"/>
  </r>
  <r>
    <n v="3.4"/>
    <n v="82.5"/>
  </r>
  <r>
    <n v="4.3"/>
    <n v="130"/>
  </r>
  <r>
    <n v="5"/>
    <n v="155"/>
  </r>
  <r>
    <n v="3.7"/>
    <n v="184.5"/>
  </r>
  <r>
    <n v="3.1"/>
    <n v="29.5"/>
  </r>
  <r>
    <n v="4.7"/>
    <n v="86.5"/>
  </r>
  <r>
    <n v="3.7"/>
    <n v="81"/>
  </r>
  <r>
    <n v="3.8"/>
    <n v="91"/>
  </r>
  <r>
    <n v="3.3"/>
    <n v="114.5"/>
  </r>
  <r>
    <n v="4.5999999999999996"/>
    <n v="68"/>
  </r>
  <r>
    <n v="3.7"/>
    <n v="115"/>
  </r>
  <r>
    <n v="3.7"/>
    <n v="109.5"/>
  </r>
  <r>
    <n v="3.5"/>
    <n v="75.5"/>
  </r>
  <r>
    <n v="4.0999999999999996"/>
    <n v="154.5"/>
  </r>
  <r>
    <n v="4.7"/>
    <n v="143.5"/>
  </r>
  <r>
    <n v="4.0999999999999996"/>
    <n v="73.5"/>
  </r>
  <r>
    <n v="3.4"/>
    <n v="95"/>
  </r>
  <r>
    <n v="4.4000000000000004"/>
    <n v="107"/>
  </r>
  <r>
    <n v="4.3"/>
    <n v="115"/>
  </r>
  <r>
    <n v="3.8"/>
    <n v="139.5"/>
  </r>
  <r>
    <n v="3.8"/>
    <n v="67"/>
  </r>
  <r>
    <n v="3.8"/>
    <n v="85"/>
  </r>
  <r>
    <n v="2.8"/>
    <n v="118"/>
  </r>
  <r>
    <n v="4.7"/>
    <n v="79.5"/>
  </r>
  <r>
    <n v="3.1"/>
    <n v="56.5"/>
  </r>
  <r>
    <n v="3.2"/>
    <n v="128.5"/>
  </r>
  <r>
    <n v="4"/>
    <n v="97.5"/>
  </r>
  <r>
    <n v="4.4000000000000004"/>
    <n v="66.5"/>
  </r>
  <r>
    <n v="3.6"/>
    <n v="179.5"/>
  </r>
  <r>
    <n v="2.7"/>
    <n v="76"/>
  </r>
  <r>
    <n v="3.9"/>
    <n v="112"/>
  </r>
  <r>
    <n v="3.1"/>
    <n v="98"/>
  </r>
  <r>
    <n v="4"/>
    <n v="128"/>
  </r>
  <r>
    <n v="4.3"/>
    <n v="150.5"/>
  </r>
  <r>
    <n v="1.9"/>
    <n v="87.5"/>
  </r>
  <r>
    <n v="3.3"/>
    <n v="110"/>
  </r>
  <r>
    <n v="4.4000000000000004"/>
    <n v="113.5"/>
  </r>
  <r>
    <n v="3.9"/>
    <n v="124"/>
  </r>
  <r>
    <n v="4.7"/>
    <n v="56.5"/>
  </r>
  <r>
    <n v="4.5"/>
    <n v="130"/>
  </r>
  <r>
    <n v="4.3"/>
    <n v="77.5"/>
  </r>
  <r>
    <n v="4"/>
    <n v="87"/>
  </r>
  <r>
    <n v="4.4000000000000004"/>
    <n v="53.5"/>
  </r>
  <r>
    <n v="3.2"/>
    <n v="139"/>
  </r>
  <r>
    <n v="3.8"/>
    <n v="114"/>
  </r>
  <r>
    <n v="4.2"/>
    <n v="85.5"/>
  </r>
  <r>
    <n v="4.5"/>
    <n v="48"/>
  </r>
  <r>
    <n v="3.5"/>
    <n v="48"/>
  </r>
  <r>
    <n v="3.5"/>
    <n v="174"/>
  </r>
  <r>
    <n v="3.9"/>
    <n v="85"/>
  </r>
  <r>
    <n v="4.7"/>
    <n v="106.5"/>
  </r>
  <r>
    <n v="4.2"/>
    <n v="72.5"/>
  </r>
  <r>
    <n v="3.4"/>
    <n v="85.5"/>
  </r>
  <r>
    <n v="3.2"/>
    <n v="97.5"/>
  </r>
  <r>
    <n v="3.9"/>
    <n v="99"/>
  </r>
  <r>
    <n v="3.1"/>
    <n v="56.5"/>
  </r>
  <r>
    <n v="4.0999999999999996"/>
    <n v="133"/>
  </r>
  <r>
    <n v="3.8"/>
    <n v="121"/>
  </r>
  <r>
    <n v="4.7"/>
    <n v="85.5"/>
  </r>
  <r>
    <n v="4.3"/>
    <n v="87.5"/>
  </r>
  <r>
    <n v="4.2"/>
    <n v="237.5"/>
  </r>
  <r>
    <n v="3.9"/>
    <n v="95.5"/>
  </r>
  <r>
    <n v="3.3"/>
    <n v="104.5"/>
  </r>
  <r>
    <n v="4.7"/>
    <n v="56.5"/>
  </r>
  <r>
    <n v="4.3"/>
    <n v="55"/>
  </r>
  <r>
    <n v="2.9"/>
    <n v="61.5"/>
  </r>
  <r>
    <n v="4.5"/>
    <n v="157"/>
  </r>
  <r>
    <n v="3.4"/>
    <n v="78"/>
  </r>
  <r>
    <n v="3.7"/>
    <n v="113.5"/>
  </r>
  <r>
    <n v="4.5999999999999996"/>
    <n v="140"/>
  </r>
  <r>
    <n v="3.2"/>
    <n v="132.5"/>
  </r>
  <r>
    <n v="4"/>
    <n v="108"/>
  </r>
  <r>
    <n v="4.5999999999999996"/>
    <n v="80.5"/>
  </r>
  <r>
    <n v="2.8"/>
    <n v="107.5"/>
  </r>
  <r>
    <n v="4.7"/>
    <n v="95"/>
  </r>
  <r>
    <n v="3"/>
    <n v="119.5"/>
  </r>
  <r>
    <n v="3.2"/>
    <n v="134"/>
  </r>
  <r>
    <n v="4.4000000000000004"/>
    <n v="100.5"/>
  </r>
  <r>
    <n v="3.5"/>
    <n v="107.5"/>
  </r>
  <r>
    <n v="4"/>
    <n v="122"/>
  </r>
  <r>
    <n v="4.3"/>
    <n v="92.5"/>
  </r>
  <r>
    <n v="2.2999999999999998"/>
    <n v="62"/>
  </r>
  <r>
    <n v="4"/>
    <n v="39.5"/>
  </r>
  <r>
    <n v="3.6"/>
    <n v="107.5"/>
  </r>
  <r>
    <n v="3.8"/>
    <n v="40.5"/>
  </r>
  <r>
    <n v="3.7"/>
    <n v="89.5"/>
  </r>
  <r>
    <n v="4.4000000000000004"/>
    <n v="81"/>
  </r>
  <r>
    <n v="4"/>
    <n v="147"/>
  </r>
  <r>
    <n v="3.2"/>
    <n v="85"/>
  </r>
  <r>
    <n v="2.9"/>
    <n v="81.5"/>
  </r>
  <r>
    <n v="3.8"/>
    <n v="168"/>
  </r>
  <r>
    <n v="4.3"/>
    <n v="100.5"/>
  </r>
  <r>
    <n v="3.4"/>
    <n v="97"/>
  </r>
  <r>
    <n v="4.0999999999999996"/>
    <n v="85"/>
  </r>
  <r>
    <n v="4.3"/>
    <n v="153.5"/>
  </r>
  <r>
    <n v="5"/>
    <n v="132.5"/>
  </r>
  <r>
    <n v="4.3"/>
    <n v="100"/>
  </r>
  <r>
    <n v="3.7"/>
    <n v="105"/>
  </r>
  <r>
    <n v="4.2"/>
    <n v="87"/>
  </r>
  <r>
    <n v="4.3"/>
    <n v="103.5"/>
  </r>
  <r>
    <n v="2.6"/>
    <n v="124"/>
  </r>
  <r>
    <n v="3.8"/>
    <n v="67"/>
  </r>
  <r>
    <n v="3.9"/>
    <n v="87"/>
  </r>
  <r>
    <n v="4.3"/>
    <n v="137.5"/>
  </r>
  <r>
    <n v="3.8"/>
    <n v="100"/>
  </r>
  <r>
    <n v="3.8"/>
    <n v="106.5"/>
  </r>
  <r>
    <n v="3.8"/>
    <n v="98.5"/>
  </r>
  <r>
    <n v="4.8"/>
    <n v="61"/>
  </r>
  <r>
    <n v="4.4000000000000004"/>
    <n v="106.5"/>
  </r>
  <r>
    <n v="3.9"/>
    <n v="84.5"/>
  </r>
  <r>
    <n v="3.4"/>
    <n v="109.5"/>
  </r>
  <r>
    <n v="3.6"/>
    <n v="164"/>
  </r>
  <r>
    <n v="3.9"/>
    <n v="169"/>
  </r>
  <r>
    <n v="3.8"/>
    <n v="142"/>
  </r>
  <r>
    <n v="3.7"/>
    <n v="76.5"/>
  </r>
  <r>
    <n v="3.8"/>
    <n v="107"/>
  </r>
  <r>
    <n v="3.5"/>
    <n v="171.5"/>
  </r>
  <r>
    <n v="3.9"/>
    <n v="96"/>
  </r>
  <r>
    <n v="4.2"/>
    <n v="142.5"/>
  </r>
  <r>
    <n v="4.2"/>
    <n v="107"/>
  </r>
  <r>
    <n v="3.5"/>
    <n v="145"/>
  </r>
  <r>
    <n v="2.9"/>
    <n v="61.5"/>
  </r>
  <r>
    <n v="3.6"/>
    <n v="42"/>
  </r>
  <r>
    <n v="2.7"/>
    <n v="120"/>
  </r>
  <r>
    <n v="4.4000000000000004"/>
    <n v="62"/>
  </r>
  <r>
    <n v="4"/>
    <n v="150.5"/>
  </r>
  <r>
    <n v="4.3"/>
    <n v="87.5"/>
  </r>
  <r>
    <n v="4.2"/>
    <n v="71.5"/>
  </r>
  <r>
    <n v="3.6"/>
    <n v="51.5"/>
  </r>
  <r>
    <n v="3.7"/>
    <n v="151.5"/>
  </r>
  <r>
    <n v="2.8"/>
    <n v="77.5"/>
  </r>
  <r>
    <n v="3.7"/>
    <n v="140"/>
  </r>
  <r>
    <n v="3.3"/>
    <n v="98.5"/>
  </r>
  <r>
    <n v="-1"/>
    <n v="225"/>
  </r>
  <r>
    <n v="3.6"/>
    <n v="56.5"/>
  </r>
  <r>
    <n v="3.7"/>
    <n v="161.5"/>
  </r>
  <r>
    <n v="3.4"/>
    <n v="147"/>
  </r>
  <r>
    <n v="4.0999999999999996"/>
    <n v="61"/>
  </r>
  <r>
    <n v="2.6"/>
    <n v="120"/>
  </r>
  <r>
    <n v="3.2"/>
    <n v="124.5"/>
  </r>
  <r>
    <n v="3.9"/>
    <n v="148"/>
  </r>
  <r>
    <n v="4.7"/>
    <n v="59"/>
  </r>
  <r>
    <n v="3.7"/>
    <n v="146.5"/>
  </r>
  <r>
    <n v="2.9"/>
    <n v="91.5"/>
  </r>
  <r>
    <n v="3"/>
    <n v="133"/>
  </r>
  <r>
    <n v="4.7"/>
    <n v="140.5"/>
  </r>
  <r>
    <n v="3.7"/>
    <n v="70.5"/>
  </r>
  <r>
    <n v="3.3"/>
    <n v="84.5"/>
  </r>
  <r>
    <n v="4"/>
    <n v="93.5"/>
  </r>
  <r>
    <n v="4.4000000000000004"/>
    <n v="134.5"/>
  </r>
  <r>
    <n v="3.9"/>
    <n v="181"/>
  </r>
  <r>
    <n v="3.3"/>
    <n v="84.5"/>
  </r>
  <r>
    <n v="4.0999999999999996"/>
    <n v="205"/>
  </r>
  <r>
    <n v="3.6"/>
    <n v="48.5"/>
  </r>
  <r>
    <n v="4"/>
    <n v="44.5"/>
  </r>
  <r>
    <n v="2.4"/>
    <n v="52.5"/>
  </r>
  <r>
    <n v="2.6"/>
    <n v="124"/>
  </r>
  <r>
    <n v="3.5"/>
    <n v="64"/>
  </r>
  <r>
    <n v="3"/>
    <n v="98"/>
  </r>
  <r>
    <n v="3.6"/>
    <n v="56.5"/>
  </r>
  <r>
    <n v="3.3"/>
    <n v="54"/>
  </r>
  <r>
    <n v="2.7"/>
    <n v="81"/>
  </r>
  <r>
    <n v="3.4"/>
    <n v="107.5"/>
  </r>
  <r>
    <n v="3.8"/>
    <n v="112.5"/>
  </r>
  <r>
    <n v="3.7"/>
    <n v="89"/>
  </r>
  <r>
    <n v="4.8"/>
    <n v="100.5"/>
  </r>
  <r>
    <n v="3.8"/>
    <n v="65"/>
  </r>
  <r>
    <n v="3.4"/>
    <n v="41.5"/>
  </r>
  <r>
    <n v="4.3"/>
    <n v="72.5"/>
  </r>
  <r>
    <n v="4.8"/>
    <n v="61"/>
  </r>
  <r>
    <n v="3.4"/>
    <n v="109.5"/>
  </r>
  <r>
    <n v="3.9"/>
    <n v="84.5"/>
  </r>
  <r>
    <n v="3.4"/>
    <n v="87.5"/>
  </r>
  <r>
    <n v="3.1"/>
    <n v="92.5"/>
  </r>
  <r>
    <n v="3.2"/>
    <n v="81.5"/>
  </r>
  <r>
    <n v="4.3"/>
    <n v="79"/>
  </r>
  <r>
    <n v="3.6"/>
    <n v="164"/>
  </r>
  <r>
    <n v="3.9"/>
    <n v="169"/>
  </r>
  <r>
    <n v="3.8"/>
    <n v="142"/>
  </r>
  <r>
    <n v="2.8"/>
    <n v="47.5"/>
  </r>
  <r>
    <n v="3.7"/>
    <n v="76.5"/>
  </r>
  <r>
    <n v="3.4"/>
    <n v="69"/>
  </r>
  <r>
    <n v="4"/>
    <n v="49"/>
  </r>
  <r>
    <n v="3.5"/>
    <n v="171.5"/>
  </r>
  <r>
    <n v="3.8"/>
    <n v="107"/>
  </r>
  <r>
    <n v="3.7"/>
    <n v="59"/>
  </r>
  <r>
    <n v="3.5"/>
    <n v="88.5"/>
  </r>
  <r>
    <n v="4.2"/>
    <n v="107"/>
  </r>
  <r>
    <n v="4"/>
    <n v="86.5"/>
  </r>
  <r>
    <n v="4.3"/>
    <n v="84"/>
  </r>
  <r>
    <n v="4.7"/>
    <n v="114.5"/>
  </r>
  <r>
    <n v="3.5"/>
    <n v="145"/>
  </r>
  <r>
    <n v="4.4000000000000004"/>
    <n v="88"/>
  </r>
  <r>
    <n v="4.0999999999999996"/>
    <n v="100"/>
  </r>
  <r>
    <n v="2.9"/>
    <n v="61.5"/>
  </r>
  <r>
    <n v="2.5"/>
    <n v="96.5"/>
  </r>
  <r>
    <n v="4.2"/>
    <n v="76"/>
  </r>
  <r>
    <n v="3.9"/>
    <n v="15.5"/>
  </r>
  <r>
    <n v="4.3"/>
    <n v="83.5"/>
  </r>
  <r>
    <n v="2.7"/>
    <n v="120"/>
  </r>
  <r>
    <n v="3.9"/>
    <n v="163"/>
  </r>
  <r>
    <n v="3.4"/>
    <n v="100"/>
  </r>
  <r>
    <n v="3.8"/>
    <n v="52.5"/>
  </r>
  <r>
    <n v="3.6"/>
    <n v="42"/>
  </r>
  <r>
    <n v="3.3"/>
    <n v="50"/>
  </r>
  <r>
    <n v="3.4"/>
    <n v="93"/>
  </r>
  <r>
    <n v="3"/>
    <n v="94.5"/>
  </r>
  <r>
    <n v="4"/>
    <n v="150.5"/>
  </r>
  <r>
    <n v="3.7"/>
    <n v="102"/>
  </r>
  <r>
    <n v="4.4000000000000004"/>
    <n v="62"/>
  </r>
  <r>
    <n v="4.3"/>
    <n v="87.5"/>
  </r>
  <r>
    <n v="4"/>
    <n v="84"/>
  </r>
  <r>
    <n v="4"/>
    <n v="143"/>
  </r>
  <r>
    <n v="3.2"/>
    <n v="155"/>
  </r>
  <r>
    <n v="4.2"/>
    <n v="71.5"/>
  </r>
  <r>
    <n v="3.9"/>
    <n v="108"/>
  </r>
  <r>
    <n v="3.7"/>
    <n v="151.5"/>
  </r>
  <r>
    <n v="3.6"/>
    <n v="51.5"/>
  </r>
  <r>
    <n v="3.7"/>
    <n v="140"/>
  </r>
  <r>
    <n v="2.8"/>
    <n v="77.5"/>
  </r>
  <r>
    <n v="4.2"/>
    <n v="63.5"/>
  </r>
  <r>
    <n v="4"/>
    <n v="109"/>
  </r>
  <r>
    <n v="3.5"/>
    <n v="96"/>
  </r>
  <r>
    <n v="-1"/>
    <n v="225"/>
  </r>
  <r>
    <n v="3.2"/>
    <n v="101"/>
  </r>
  <r>
    <n v="3.3"/>
    <n v="98.5"/>
  </r>
  <r>
    <n v="3.9"/>
    <n v="77.5"/>
  </r>
  <r>
    <n v="3.7"/>
    <n v="161.5"/>
  </r>
  <r>
    <n v="3.6"/>
    <n v="56.5"/>
  </r>
  <r>
    <n v="3.4"/>
    <n v="147"/>
  </r>
  <r>
    <n v="3.5"/>
    <n v="90"/>
  </r>
  <r>
    <n v="4.3"/>
    <n v="58"/>
  </r>
  <r>
    <n v="4.0999999999999996"/>
    <n v="61"/>
  </r>
  <r>
    <n v="2.6"/>
    <n v="120"/>
  </r>
  <r>
    <n v="3.6"/>
    <n v="128"/>
  </r>
  <r>
    <n v="3.5"/>
    <n v="99.5"/>
  </r>
  <r>
    <n v="3.6"/>
    <n v="96"/>
  </r>
  <r>
    <n v="2.2999999999999998"/>
    <n v="101"/>
  </r>
  <r>
    <n v="3.9"/>
    <n v="148"/>
  </r>
  <r>
    <n v="4"/>
    <n v="142"/>
  </r>
  <r>
    <n v="4.0999999999999996"/>
    <n v="169"/>
  </r>
  <r>
    <n v="3.2"/>
    <n v="124.5"/>
  </r>
  <r>
    <n v="4.7"/>
    <n v="59"/>
  </r>
  <r>
    <n v="4.2"/>
    <n v="52.5"/>
  </r>
  <r>
    <n v="4.5999999999999996"/>
    <n v="75.5"/>
  </r>
  <r>
    <n v="3.7"/>
    <n v="139"/>
  </r>
  <r>
    <n v="3.7"/>
    <n v="102.5"/>
  </r>
  <r>
    <n v="4.4000000000000004"/>
    <n v="60.5"/>
  </r>
  <r>
    <n v="3.7"/>
    <n v="146.5"/>
  </r>
  <r>
    <n v="3.9"/>
    <n v="125"/>
  </r>
  <r>
    <n v="3.6"/>
    <n v="81"/>
  </r>
  <r>
    <n v="3"/>
    <n v="133"/>
  </r>
  <r>
    <n v="3.4"/>
    <n v="77"/>
  </r>
  <r>
    <n v="4.0999999999999996"/>
    <n v="92"/>
  </r>
  <r>
    <n v="3.8"/>
    <n v="121"/>
  </r>
  <r>
    <n v="4"/>
    <n v="162.5"/>
  </r>
  <r>
    <n v="3.9"/>
    <n v="60"/>
  </r>
  <r>
    <n v="-1"/>
    <n v="87.5"/>
  </r>
  <r>
    <n v="4.4000000000000004"/>
    <n v="90.5"/>
  </r>
  <r>
    <n v="3.8"/>
    <n v="114.5"/>
  </r>
  <r>
    <n v="3.8"/>
    <n v="121"/>
  </r>
  <r>
    <n v="2.2000000000000002"/>
    <n v="110"/>
  </r>
  <r>
    <n v="2.9"/>
    <n v="91.5"/>
  </r>
  <r>
    <n v="4.0999999999999996"/>
    <n v="70.5"/>
  </r>
  <r>
    <n v="3.7"/>
    <n v="70.5"/>
  </r>
  <r>
    <n v="3.8"/>
    <n v="76.5"/>
  </r>
  <r>
    <n v="3.6"/>
    <n v="92"/>
  </r>
  <r>
    <n v="4.7"/>
    <n v="140.5"/>
  </r>
  <r>
    <n v="3.5"/>
    <n v="82"/>
  </r>
  <r>
    <n v="3.3"/>
    <n v="84.5"/>
  </r>
  <r>
    <n v="4.4000000000000004"/>
    <n v="134.5"/>
  </r>
  <r>
    <n v="3.3"/>
    <n v="164.5"/>
  </r>
  <r>
    <n v="3.4"/>
    <n v="44"/>
  </r>
  <r>
    <n v="4"/>
    <n v="93.5"/>
  </r>
  <r>
    <n v="4.4000000000000004"/>
    <n v="109"/>
  </r>
  <r>
    <n v="3.8"/>
    <n v="149.5"/>
  </r>
  <r>
    <n v="3.5"/>
    <n v="65.5"/>
  </r>
  <r>
    <n v="3.5"/>
    <n v="124.5"/>
  </r>
  <r>
    <n v="2.9"/>
    <n v="114"/>
  </r>
  <r>
    <n v="3.9"/>
    <n v="49"/>
  </r>
  <r>
    <n v="3.3"/>
    <n v="84.5"/>
  </r>
  <r>
    <n v="3.7"/>
    <n v="71"/>
  </r>
  <r>
    <n v="3.6"/>
    <n v="101"/>
  </r>
  <r>
    <n v="3.5"/>
    <n v="107"/>
  </r>
  <r>
    <n v="4.7"/>
    <n v="112.5"/>
  </r>
  <r>
    <n v="3.9"/>
    <n v="181"/>
  </r>
  <r>
    <n v="3.7"/>
    <n v="61"/>
  </r>
  <r>
    <n v="4.0999999999999996"/>
    <n v="205"/>
  </r>
  <r>
    <n v="3.1"/>
    <n v="103.5"/>
  </r>
  <r>
    <n v="3.6"/>
    <n v="63"/>
  </r>
  <r>
    <n v="3"/>
    <n v="62.5"/>
  </r>
  <r>
    <n v="3.5"/>
    <n v="94.5"/>
  </r>
  <r>
    <n v="3.6"/>
    <n v="48.5"/>
  </r>
  <r>
    <n v="3.5"/>
    <n v="154.5"/>
  </r>
  <r>
    <n v="4"/>
    <n v="44.5"/>
  </r>
  <r>
    <n v="3.7"/>
    <n v="87"/>
  </r>
  <r>
    <n v="2.4"/>
    <n v="52.5"/>
  </r>
  <r>
    <n v="3.2"/>
    <n v="64.5"/>
  </r>
  <r>
    <n v="2.1"/>
    <n v="111.5"/>
  </r>
  <r>
    <n v="3.7"/>
    <n v="154.5"/>
  </r>
  <r>
    <n v="2.6"/>
    <n v="124"/>
  </r>
  <r>
    <n v="4.4000000000000004"/>
    <n v="128.5"/>
  </r>
  <r>
    <n v="3.7"/>
    <n v="65"/>
  </r>
  <r>
    <n v="3.5"/>
    <n v="64"/>
  </r>
  <r>
    <n v="3"/>
    <n v="98"/>
  </r>
  <r>
    <n v="4.2"/>
    <n v="142.5"/>
  </r>
  <r>
    <n v="3.9"/>
    <n v="137"/>
  </r>
  <r>
    <n v="4"/>
    <n v="99"/>
  </r>
  <r>
    <n v="3.3"/>
    <n v="54"/>
  </r>
  <r>
    <n v="4.4000000000000004"/>
    <n v="139.5"/>
  </r>
  <r>
    <n v="3.4"/>
    <n v="109"/>
  </r>
  <r>
    <n v="3.3"/>
    <n v="254"/>
  </r>
  <r>
    <n v="2.9"/>
    <n v="73"/>
  </r>
  <r>
    <n v="2.7"/>
    <n v="81"/>
  </r>
  <r>
    <n v="3.6"/>
    <n v="56.5"/>
  </r>
  <r>
    <n v="3.1"/>
    <n v="99.5"/>
  </r>
  <r>
    <n v="3.3"/>
    <n v="45.5"/>
  </r>
  <r>
    <n v="4.5"/>
    <n v="122.5"/>
  </r>
  <r>
    <n v="3.9"/>
    <n v="140"/>
  </r>
  <r>
    <n v="3.2"/>
    <n v="77.5"/>
  </r>
  <r>
    <n v="3.3"/>
    <n v="55"/>
  </r>
  <r>
    <n v="3.1"/>
    <n v="117.5"/>
  </r>
  <r>
    <n v="2.4"/>
    <n v="70.5"/>
  </r>
  <r>
    <n v="4.8"/>
    <n v="61.5"/>
  </r>
  <r>
    <n v="2.9"/>
    <n v="70"/>
  </r>
  <r>
    <n v="2.9"/>
    <n v="80"/>
  </r>
  <r>
    <n v="3.4"/>
    <n v="90"/>
  </r>
  <r>
    <n v="-1"/>
    <n v="120"/>
  </r>
  <r>
    <n v="2.6"/>
    <n v="73.5"/>
  </r>
  <r>
    <n v="3.8"/>
    <n v="91"/>
  </r>
  <r>
    <n v="5"/>
    <n v="155"/>
  </r>
  <r>
    <n v="3.6"/>
    <n v="129.5"/>
  </r>
  <r>
    <n v="4"/>
    <n v="167.5"/>
  </r>
  <r>
    <n v="3.8"/>
    <n v="60"/>
  </r>
  <r>
    <n v="3.9"/>
    <n v="180"/>
  </r>
  <r>
    <n v="3.8"/>
    <n v="65"/>
  </r>
  <r>
    <n v="4.3"/>
    <n v="112.5"/>
  </r>
  <r>
    <n v="1.9"/>
    <n v="87.5"/>
  </r>
  <r>
    <n v="3.3"/>
    <n v="51.5"/>
  </r>
  <r>
    <n v="4.7"/>
    <n v="51"/>
  </r>
  <r>
    <n v="3.1"/>
    <n v="62.5"/>
  </r>
  <r>
    <n v="3.4"/>
    <n v="100"/>
  </r>
  <r>
    <n v="4.4000000000000004"/>
    <n v="85"/>
  </r>
  <r>
    <n v="3.9"/>
    <n v="122"/>
  </r>
  <r>
    <n v="3.9"/>
    <n v="66.5"/>
  </r>
  <r>
    <n v="4.7"/>
    <n v="70.5"/>
  </r>
  <r>
    <n v="4.7"/>
    <n v="138.5"/>
  </r>
  <r>
    <n v="3.4"/>
    <n v="107.5"/>
  </r>
  <r>
    <n v="3.8"/>
    <n v="120.5"/>
  </r>
  <r>
    <n v="2.7"/>
    <n v="81"/>
  </r>
  <r>
    <n v="3.1"/>
    <n v="103.5"/>
  </r>
  <r>
    <n v="3.4"/>
    <n v="107.5"/>
  </r>
  <r>
    <n v="4"/>
    <n v="162"/>
  </r>
  <r>
    <n v="3.5"/>
    <n v="68.5"/>
  </r>
  <r>
    <n v="3.4"/>
    <n v="110.5"/>
  </r>
  <r>
    <n v="3.7"/>
    <n v="81"/>
  </r>
  <r>
    <n v="4.3"/>
    <n v="130"/>
  </r>
  <r>
    <n v="3.7"/>
    <n v="115.5"/>
  </r>
  <r>
    <n v="3.8"/>
    <n v="80.5"/>
  </r>
  <r>
    <n v="4.5999999999999996"/>
    <n v="43"/>
  </r>
  <r>
    <n v="4.4000000000000004"/>
    <n v="140"/>
  </r>
  <r>
    <n v="-1"/>
    <n v="120"/>
  </r>
  <r>
    <n v="3"/>
    <n v="66.5"/>
  </r>
  <r>
    <n v="4.7"/>
    <n v="94.5"/>
  </r>
  <r>
    <n v="3.8"/>
    <n v="119"/>
  </r>
  <r>
    <n v="3.2"/>
    <n v="51.5"/>
  </r>
  <r>
    <n v="2.7"/>
    <n v="27.5"/>
  </r>
  <r>
    <n v="3.3"/>
    <n v="194.5"/>
  </r>
  <r>
    <n v="3.9"/>
    <n v="71.5"/>
  </r>
  <r>
    <n v="3.7"/>
    <n v="105.5"/>
  </r>
  <r>
    <n v="3.1"/>
    <n v="74"/>
  </r>
  <r>
    <n v="3.7"/>
    <n v="62.5"/>
  </r>
  <r>
    <n v="4.3"/>
    <n v="65.5"/>
  </r>
  <r>
    <n v="3.6"/>
    <n v="161.5"/>
  </r>
  <r>
    <n v="2.1"/>
    <n v="72.5"/>
  </r>
  <r>
    <n v="3.9"/>
    <n v="139"/>
  </r>
  <r>
    <n v="3.9"/>
    <n v="136.5"/>
  </r>
  <r>
    <n v="3.8"/>
    <n v="74.5"/>
  </r>
  <r>
    <n v="3.1"/>
    <n v="80.5"/>
  </r>
  <r>
    <n v="3.5"/>
    <n v="75.5"/>
  </r>
  <r>
    <n v="4.7"/>
    <n v="143.5"/>
  </r>
  <r>
    <n v="5"/>
    <n v="101"/>
  </r>
  <r>
    <n v="3.6"/>
    <n v="92"/>
  </r>
  <r>
    <n v="3.8"/>
    <n v="76.5"/>
  </r>
  <r>
    <n v="4.7"/>
    <n v="140.5"/>
  </r>
  <r>
    <n v="3.6"/>
    <n v="116.5"/>
  </r>
  <r>
    <n v="4.7"/>
    <n v="232.5"/>
  </r>
  <r>
    <n v="3.5"/>
    <n v="120.5"/>
  </r>
  <r>
    <n v="3.5"/>
    <n v="82"/>
  </r>
  <r>
    <n v="3.3"/>
    <n v="84.5"/>
  </r>
  <r>
    <n v="2.7"/>
    <n v="153"/>
  </r>
  <r>
    <n v="3.4"/>
    <n v="127"/>
  </r>
  <r>
    <n v="4.7"/>
    <n v="85.5"/>
  </r>
  <r>
    <n v="2.8"/>
    <n v="76.5"/>
  </r>
  <r>
    <n v="3.5"/>
    <n v="128"/>
  </r>
  <r>
    <n v="3.2"/>
    <n v="91.5"/>
  </r>
  <r>
    <n v="4.4000000000000004"/>
    <n v="134.5"/>
  </r>
  <r>
    <n v="3.3"/>
    <n v="164.5"/>
  </r>
  <r>
    <n v="4"/>
    <n v="93.5"/>
  </r>
  <r>
    <n v="3.4"/>
    <n v="44"/>
  </r>
  <r>
    <n v="3.8"/>
    <n v="149.5"/>
  </r>
  <r>
    <n v="3.5"/>
    <n v="65.5"/>
  </r>
  <r>
    <n v="4.4000000000000004"/>
    <n v="109"/>
  </r>
  <r>
    <n v="3.7"/>
    <n v="177"/>
  </r>
  <r>
    <n v="4.7"/>
    <n v="107"/>
  </r>
  <r>
    <n v="4.0999999999999996"/>
    <n v="154.5"/>
  </r>
  <r>
    <n v="4"/>
    <n v="113.5"/>
  </r>
  <r>
    <n v="3.5"/>
    <n v="124.5"/>
  </r>
  <r>
    <n v="2.5"/>
    <n v="143.5"/>
  </r>
  <r>
    <n v="3.9"/>
    <n v="113.5"/>
  </r>
  <r>
    <n v="3.4"/>
    <n v="101.5"/>
  </r>
  <r>
    <n v="3.6"/>
    <n v="73"/>
  </r>
  <r>
    <n v="3.5"/>
    <n v="80.5"/>
  </r>
  <r>
    <n v="-1"/>
    <n v="110.5"/>
  </r>
  <r>
    <n v="2.9"/>
    <n v="114"/>
  </r>
  <r>
    <n v="3.5"/>
    <n v="139.5"/>
  </r>
  <r>
    <n v="4.8"/>
    <n v="145.5"/>
  </r>
  <r>
    <n v="4"/>
    <n v="87"/>
  </r>
  <r>
    <n v="4.2"/>
    <n v="100.5"/>
  </r>
  <r>
    <n v="3.8"/>
    <n v="147"/>
  </r>
  <r>
    <n v="3.7"/>
    <n v="110.5"/>
  </r>
  <r>
    <n v="3.9"/>
    <n v="49"/>
  </r>
  <r>
    <n v="4.5999999999999996"/>
    <n v="94"/>
  </r>
  <r>
    <n v="4.3"/>
    <n v="123.5"/>
  </r>
  <r>
    <n v="3.3"/>
    <n v="84.5"/>
  </r>
  <r>
    <n v="3.7"/>
    <n v="71"/>
  </r>
  <r>
    <n v="4"/>
    <n v="73"/>
  </r>
  <r>
    <n v="3.6"/>
    <n v="101"/>
  </r>
  <r>
    <n v="3.9"/>
    <n v="181"/>
  </r>
  <r>
    <n v="3.7"/>
    <n v="109.5"/>
  </r>
  <r>
    <n v="3.7"/>
    <n v="184.5"/>
  </r>
  <r>
    <n v="3.9"/>
    <n v="165"/>
  </r>
  <r>
    <n v="3.7"/>
    <n v="61"/>
  </r>
  <r>
    <n v="4.0999999999999996"/>
    <n v="205"/>
  </r>
  <r>
    <n v="3.1"/>
    <n v="59.5"/>
  </r>
  <r>
    <n v="3.1"/>
    <n v="103.5"/>
  </r>
  <r>
    <n v="3"/>
    <n v="62.5"/>
  </r>
  <r>
    <n v="3.6"/>
    <n v="63"/>
  </r>
  <r>
    <n v="3.6"/>
    <n v="66"/>
  </r>
  <r>
    <n v="3.5"/>
    <n v="94.5"/>
  </r>
  <r>
    <n v="4.2"/>
    <n v="75.5"/>
  </r>
  <r>
    <n v="4"/>
    <n v="87"/>
  </r>
  <r>
    <n v="3.9"/>
    <n v="140"/>
  </r>
  <r>
    <n v="3.7"/>
    <n v="86"/>
  </r>
  <r>
    <n v="4.4000000000000004"/>
    <n v="116.5"/>
  </r>
  <r>
    <n v="3.5"/>
    <n v="154.5"/>
  </r>
  <r>
    <n v="3.7"/>
    <n v="87"/>
  </r>
  <r>
    <n v="3.6"/>
    <n v="48.5"/>
  </r>
  <r>
    <n v="3.4"/>
    <n v="80"/>
  </r>
  <r>
    <n v="4"/>
    <n v="44.5"/>
  </r>
  <r>
    <n v="2.4"/>
    <n v="52.5"/>
  </r>
  <r>
    <n v="3.7"/>
    <n v="173"/>
  </r>
  <r>
    <n v="3.5"/>
    <n v="68.5"/>
  </r>
  <r>
    <n v="4.4000000000000004"/>
    <n v="172"/>
  </r>
  <r>
    <n v="3.3"/>
    <n v="114.5"/>
  </r>
  <r>
    <n v="3.9"/>
    <n v="95"/>
  </r>
  <r>
    <n v="3.2"/>
    <n v="69.5"/>
  </r>
  <r>
    <n v="3.2"/>
    <n v="64.5"/>
  </r>
  <r>
    <n v="2.1"/>
    <n v="111.5"/>
  </r>
  <r>
    <n v="4"/>
    <n v="97.5"/>
  </r>
  <r>
    <n v="3.7"/>
    <n v="154.5"/>
  </r>
  <r>
    <n v="2.6"/>
    <n v="124"/>
  </r>
  <r>
    <n v="3.4"/>
    <n v="95"/>
  </r>
  <r>
    <n v="4.4000000000000004"/>
    <n v="128.5"/>
  </r>
  <r>
    <n v="3.2"/>
    <n v="194"/>
  </r>
  <r>
    <n v="3.5"/>
    <n v="104.5"/>
  </r>
  <r>
    <n v="3.7"/>
    <n v="65"/>
  </r>
  <r>
    <n v="4.2"/>
    <n v="85.5"/>
  </r>
  <r>
    <n v="4.2"/>
    <n v="50"/>
  </r>
  <r>
    <n v="3.1"/>
    <n v="113"/>
  </r>
  <r>
    <n v="3.9"/>
    <n v="90.5"/>
  </r>
  <r>
    <n v="4.3"/>
    <n v="153"/>
  </r>
  <r>
    <n v="3.3"/>
    <n v="123.5"/>
  </r>
  <r>
    <n v="3.9"/>
    <n v="47"/>
  </r>
  <r>
    <n v="3.5"/>
    <n v="64"/>
  </r>
  <r>
    <n v="4"/>
    <n v="162"/>
  </r>
  <r>
    <n v="3.9"/>
    <n v="137"/>
  </r>
  <r>
    <n v="3"/>
    <n v="98"/>
  </r>
  <r>
    <n v="3.7"/>
    <n v="115"/>
  </r>
  <r>
    <n v="3.5"/>
    <n v="133.5"/>
  </r>
  <r>
    <n v="4"/>
    <n v="99"/>
  </r>
  <r>
    <n v="3.3"/>
    <n v="54"/>
  </r>
  <r>
    <n v="3.2"/>
    <n v="109"/>
  </r>
  <r>
    <n v="3.4"/>
    <n v="109"/>
  </r>
  <r>
    <n v="4.4000000000000004"/>
    <n v="139.5"/>
  </r>
  <r>
    <n v="3.3"/>
    <n v="254"/>
  </r>
  <r>
    <n v="3.2"/>
    <n v="125"/>
  </r>
  <r>
    <n v="3.8"/>
    <n v="106.5"/>
  </r>
  <r>
    <n v="2.9"/>
    <n v="73"/>
  </r>
  <r>
    <n v="2.7"/>
    <n v="81"/>
  </r>
  <r>
    <n v="3.6"/>
    <n v="56.5"/>
  </r>
  <r>
    <n v="3.1"/>
    <n v="99.5"/>
  </r>
  <r>
    <n v="3.3"/>
    <n v="45.5"/>
  </r>
  <r>
    <n v="3.7"/>
    <n v="54"/>
  </r>
  <r>
    <n v="4.5"/>
    <n v="122.5"/>
  </r>
  <r>
    <n v="3"/>
    <n v="37.5"/>
  </r>
  <r>
    <n v="3.8"/>
    <n v="53.5"/>
  </r>
  <r>
    <n v="3.9"/>
    <n v="140"/>
  </r>
  <r>
    <n v="3.2"/>
    <n v="77.5"/>
  </r>
  <r>
    <n v="3.3"/>
    <n v="55"/>
  </r>
  <r>
    <n v="3.1"/>
    <n v="117.5"/>
  </r>
  <r>
    <n v="2.4"/>
    <n v="70.5"/>
  </r>
  <r>
    <n v="2.9"/>
    <n v="70"/>
  </r>
  <r>
    <n v="4.8"/>
    <n v="61.5"/>
  </r>
  <r>
    <n v="2.9"/>
    <n v="80"/>
  </r>
  <r>
    <n v="4.7"/>
    <n v="79.5"/>
  </r>
  <r>
    <n v="4.7"/>
    <n v="168"/>
  </r>
  <r>
    <n v="3.4"/>
    <n v="90"/>
  </r>
  <r>
    <n v="-1"/>
    <n v="120"/>
  </r>
  <r>
    <n v="3.9"/>
    <n v="138.5"/>
  </r>
  <r>
    <n v="3.6"/>
    <n v="111.5"/>
  </r>
  <r>
    <n v="3.6"/>
    <n v="68.5"/>
  </r>
  <r>
    <n v="3.9"/>
    <n v="84.5"/>
  </r>
  <r>
    <n v="4.4000000000000004"/>
    <n v="102.5"/>
  </r>
  <r>
    <n v="2.6"/>
    <n v="73.5"/>
  </r>
  <r>
    <n v="3.6"/>
    <n v="93.5"/>
  </r>
  <r>
    <n v="3.2"/>
    <n v="127.5"/>
  </r>
  <r>
    <n v="4.2"/>
    <n v="72"/>
  </r>
  <r>
    <n v="3.6"/>
    <n v="129.5"/>
  </r>
  <r>
    <n v="3.1"/>
    <n v="47"/>
  </r>
  <r>
    <n v="3.8"/>
    <n v="65"/>
  </r>
  <r>
    <n v="3.8"/>
    <n v="60"/>
  </r>
  <r>
    <n v="4"/>
    <n v="167.5"/>
  </r>
  <r>
    <n v="3.8"/>
    <n v="65"/>
  </r>
  <r>
    <n v="4"/>
    <n v="94"/>
  </r>
  <r>
    <n v="1.9"/>
    <n v="87.5"/>
  </r>
  <r>
    <n v="4"/>
    <n v="97"/>
  </r>
  <r>
    <n v="4.3"/>
    <n v="112.5"/>
  </r>
  <r>
    <n v="3.6"/>
    <n v="91.5"/>
  </r>
  <r>
    <n v="3.3"/>
    <n v="51.5"/>
  </r>
  <r>
    <n v="3.8"/>
    <n v="114.5"/>
  </r>
  <r>
    <n v="4.3"/>
    <n v="115"/>
  </r>
  <r>
    <n v="3.2"/>
    <n v="74"/>
  </r>
  <r>
    <n v="4.7"/>
    <n v="51"/>
  </r>
  <r>
    <n v="3.4"/>
    <n v="100"/>
  </r>
  <r>
    <n v="3.8"/>
    <n v="121"/>
  </r>
  <r>
    <n v="4.5"/>
    <n v="121.5"/>
  </r>
  <r>
    <n v="3.1"/>
    <n v="62.5"/>
  </r>
  <r>
    <n v="-1"/>
    <n v="117.5"/>
  </r>
  <r>
    <n v="3.9"/>
    <n v="122"/>
  </r>
  <r>
    <n v="4.4000000000000004"/>
    <n v="85"/>
  </r>
  <r>
    <n v="3.4"/>
    <n v="60.5"/>
  </r>
  <r>
    <n v="3.9"/>
    <n v="180"/>
  </r>
  <r>
    <n v="4.7"/>
    <n v="70.5"/>
  </r>
  <r>
    <n v="3.3"/>
    <n v="118.5"/>
  </r>
  <r>
    <n v="3.9"/>
    <n v="66.5"/>
  </r>
  <r>
    <n v="3.4"/>
    <n v="107.5"/>
  </r>
  <r>
    <n v="4.7"/>
    <n v="138.5"/>
  </r>
  <r>
    <n v="2.7"/>
    <n v="81"/>
  </r>
  <r>
    <n v="3.8"/>
    <n v="58.5"/>
  </r>
  <r>
    <n v="3.4"/>
    <n v="107.5"/>
  </r>
  <r>
    <n v="3.8"/>
    <n v="120.5"/>
  </r>
  <r>
    <n v="3.9"/>
    <n v="63.5"/>
  </r>
  <r>
    <n v="3.1"/>
    <n v="103.5"/>
  </r>
  <r>
    <n v="4.0999999999999996"/>
    <n v="107"/>
  </r>
  <r>
    <n v="3.7"/>
    <n v="105.5"/>
  </r>
  <r>
    <n v="2.8"/>
    <n v="83"/>
  </r>
  <r>
    <n v="4"/>
    <n v="162"/>
  </r>
  <r>
    <n v="3.5"/>
    <n v="68.5"/>
  </r>
  <r>
    <n v="3.4"/>
    <n v="110.5"/>
  </r>
  <r>
    <n v="3.7"/>
    <n v="115.5"/>
  </r>
  <r>
    <n v="3"/>
    <n v="87.5"/>
  </r>
  <r>
    <n v="3.8"/>
    <n v="80.5"/>
  </r>
  <r>
    <n v="4.5999999999999996"/>
    <n v="43"/>
  </r>
  <r>
    <n v="4.4000000000000004"/>
    <n v="140"/>
  </r>
  <r>
    <n v="4"/>
    <n v="172"/>
  </r>
  <r>
    <n v="-1"/>
    <n v="120"/>
  </r>
  <r>
    <n v="3"/>
    <n v="66.5"/>
  </r>
  <r>
    <n v="3"/>
    <n v="100"/>
  </r>
  <r>
    <n v="4.7"/>
    <n v="94.5"/>
  </r>
  <r>
    <n v="4.2"/>
    <n v="221.5"/>
  </r>
  <r>
    <n v="3.8"/>
    <n v="119"/>
  </r>
  <r>
    <n v="3.5"/>
    <n v="95.5"/>
  </r>
  <r>
    <n v="3.3"/>
    <n v="194.5"/>
  </r>
  <r>
    <n v="3.2"/>
    <n v="51.5"/>
  </r>
  <r>
    <n v="2.7"/>
    <n v="27.5"/>
  </r>
  <r>
    <n v="3.3"/>
    <n v="173"/>
  </r>
  <r>
    <n v="3.7"/>
    <n v="105.5"/>
  </r>
  <r>
    <n v="3.9"/>
    <n v="71.5"/>
  </r>
  <r>
    <n v="3.1"/>
    <n v="74"/>
  </r>
  <r>
    <n v="3.7"/>
    <n v="62.5"/>
  </r>
  <r>
    <n v="4.3"/>
    <n v="65.5"/>
  </r>
  <r>
    <n v="3.8"/>
    <n v="85"/>
  </r>
  <r>
    <n v="3.9"/>
    <n v="147.5"/>
  </r>
  <r>
    <n v="3.6"/>
    <n v="161.5"/>
  </r>
  <r>
    <n v="3.7"/>
    <n v="81"/>
  </r>
  <r>
    <n v="2.1"/>
    <n v="72.5"/>
  </r>
  <r>
    <n v="3.9"/>
    <n v="139"/>
  </r>
  <r>
    <n v="3.9"/>
    <n v="136.5"/>
  </r>
  <r>
    <n v="3.2"/>
    <n v="83"/>
  </r>
  <r>
    <n v="4.5999999999999996"/>
    <n v="121"/>
  </r>
  <r>
    <n v="3.8"/>
    <n v="74.5"/>
  </r>
  <r>
    <n v="2.2000000000000002"/>
    <n v="85.5"/>
  </r>
  <r>
    <n v="3.1"/>
    <n v="80.5"/>
  </r>
  <r>
    <n v="4.5999999999999996"/>
    <n v="167.5"/>
  </r>
  <r>
    <n v="2.6"/>
    <n v="107.5"/>
  </r>
  <r>
    <n v="3.4"/>
    <n v="44.5"/>
  </r>
  <r>
    <n v="3.3"/>
    <n v="107.5"/>
  </r>
  <r>
    <n v="-1"/>
    <n v="132.5"/>
  </r>
  <r>
    <n v="3.7"/>
    <n v="69.5"/>
  </r>
  <r>
    <n v="3.5"/>
    <n v="98.5"/>
  </r>
  <r>
    <n v="2.7"/>
    <n v="80.5"/>
  </r>
  <r>
    <n v="3.8"/>
    <n v="76.5"/>
  </r>
  <r>
    <n v="3.7"/>
    <n v="99"/>
  </r>
  <r>
    <n v="3.8"/>
    <n v="96.5"/>
  </r>
  <r>
    <n v="3.3"/>
    <n v="53"/>
  </r>
  <r>
    <n v="2.7"/>
    <n v="103"/>
  </r>
  <r>
    <n v="3.8"/>
    <n v="139.5"/>
  </r>
  <r>
    <n v="3.8"/>
    <n v="67"/>
  </r>
  <r>
    <n v="3"/>
    <n v="62.5"/>
  </r>
  <r>
    <n v="3.9"/>
    <n v="92"/>
  </r>
  <r>
    <n v="3.6"/>
    <n v="66"/>
  </r>
  <r>
    <n v="3.5"/>
    <n v="94.5"/>
  </r>
  <r>
    <n v="3.6"/>
    <n v="114"/>
  </r>
  <r>
    <n v="4.2"/>
    <n v="75.5"/>
  </r>
  <r>
    <n v="3.5"/>
    <n v="96"/>
  </r>
  <r>
    <n v="4"/>
    <n v="87"/>
  </r>
  <r>
    <n v="3.7"/>
    <n v="86"/>
  </r>
  <r>
    <n v="4.4000000000000004"/>
    <n v="116.5"/>
  </r>
  <r>
    <n v="3.5"/>
    <n v="154.5"/>
  </r>
  <r>
    <n v="3.6"/>
    <n v="48.5"/>
  </r>
  <r>
    <n v="3.7"/>
    <n v="87"/>
  </r>
  <r>
    <n v="3.4"/>
    <n v="80"/>
  </r>
  <r>
    <n v="4"/>
    <n v="44.5"/>
  </r>
  <r>
    <n v="3.7"/>
    <n v="173"/>
  </r>
  <r>
    <n v="2.4"/>
    <n v="52.5"/>
  </r>
  <r>
    <n v="3.5"/>
    <n v="68.5"/>
  </r>
  <r>
    <n v="3.9"/>
    <n v="95"/>
  </r>
  <r>
    <n v="3.2"/>
    <n v="69.5"/>
  </r>
  <r>
    <n v="4.4000000000000004"/>
    <n v="107"/>
  </r>
  <r>
    <n v="3.9"/>
    <n v="112"/>
  </r>
  <r>
    <n v="3.4"/>
    <n v="96.5"/>
  </r>
  <r>
    <n v="2.1"/>
    <n v="111.5"/>
  </r>
  <r>
    <n v="3.7"/>
    <n v="154.5"/>
  </r>
  <r>
    <n v="3.4"/>
    <n v="95"/>
  </r>
  <r>
    <n v="4"/>
    <n v="97.5"/>
  </r>
  <r>
    <n v="4.4000000000000004"/>
    <n v="128.5"/>
  </r>
  <r>
    <n v="2.6"/>
    <n v="124"/>
  </r>
  <r>
    <n v="3.2"/>
    <n v="194"/>
  </r>
  <r>
    <n v="3.7"/>
    <n v="65"/>
  </r>
  <r>
    <n v="4.2"/>
    <n v="50"/>
  </r>
  <r>
    <n v="3.5"/>
    <n v="104.5"/>
  </r>
  <r>
    <n v="4.3"/>
    <n v="69.5"/>
  </r>
  <r>
    <n v="2.6"/>
    <n v="121"/>
  </r>
  <r>
    <n v="4.2"/>
    <n v="85.5"/>
  </r>
  <r>
    <n v="3.1"/>
    <n v="113"/>
  </r>
  <r>
    <n v="3.8"/>
    <n v="103"/>
  </r>
  <r>
    <n v="3.9"/>
    <n v="90.5"/>
  </r>
  <r>
    <n v="4.3"/>
    <n v="153"/>
  </r>
  <r>
    <n v="3.2"/>
    <n v="106.5"/>
  </r>
  <r>
    <n v="5"/>
    <n v="130"/>
  </r>
  <r>
    <n v="3.3"/>
    <n v="123.5"/>
  </r>
  <r>
    <n v="4.3"/>
    <n v="86.5"/>
  </r>
  <r>
    <n v="3.5"/>
    <n v="64"/>
  </r>
  <r>
    <n v="3.9"/>
    <n v="47"/>
  </r>
  <r>
    <n v="4"/>
    <n v="162"/>
  </r>
  <r>
    <n v="3.9"/>
    <n v="140"/>
  </r>
  <r>
    <n v="3.4"/>
    <n v="89"/>
  </r>
  <r>
    <n v="3"/>
    <n v="98"/>
  </r>
  <r>
    <n v="3.9"/>
    <n v="137"/>
  </r>
  <r>
    <n v="4"/>
    <n v="99"/>
  </r>
  <r>
    <n v="3.3"/>
    <n v="54"/>
  </r>
  <r>
    <n v="3.2"/>
    <n v="109"/>
  </r>
  <r>
    <n v="3.4"/>
    <n v="109"/>
  </r>
  <r>
    <n v="4.4000000000000004"/>
    <n v="139.5"/>
  </r>
  <r>
    <n v="3.3"/>
    <n v="254"/>
  </r>
  <r>
    <n v="3.2"/>
    <n v="125"/>
  </r>
  <r>
    <n v="3.8"/>
    <n v="106.5"/>
  </r>
  <r>
    <n v="3.6"/>
    <n v="56.5"/>
  </r>
  <r>
    <n v="2.9"/>
    <n v="73"/>
  </r>
  <r>
    <n v="2.7"/>
    <n v="81"/>
  </r>
  <r>
    <n v="3.2"/>
    <n v="128.5"/>
  </r>
  <r>
    <n v="3.1"/>
    <n v="99.5"/>
  </r>
  <r>
    <n v="4"/>
    <n v="92"/>
  </r>
  <r>
    <n v="3.3"/>
    <n v="45.5"/>
  </r>
  <r>
    <n v="4.5"/>
    <n v="122.5"/>
  </r>
  <r>
    <n v="3"/>
    <n v="37.5"/>
  </r>
  <r>
    <n v="3.7"/>
    <n v="54"/>
  </r>
  <r>
    <n v="3.8"/>
    <n v="53.5"/>
  </r>
  <r>
    <n v="3.9"/>
    <n v="140"/>
  </r>
  <r>
    <n v="3.2"/>
    <n v="77.5"/>
  </r>
  <r>
    <n v="3.3"/>
    <n v="55"/>
  </r>
  <r>
    <n v="3.1"/>
    <n v="117.5"/>
  </r>
  <r>
    <n v="2.4"/>
    <n v="70.5"/>
  </r>
  <r>
    <n v="4.8"/>
    <n v="61.5"/>
  </r>
  <r>
    <n v="2.9"/>
    <n v="80"/>
  </r>
  <r>
    <n v="2.9"/>
    <n v="70"/>
  </r>
  <r>
    <n v="-1"/>
    <n v="120"/>
  </r>
  <r>
    <n v="3.4"/>
    <n v="90"/>
  </r>
  <r>
    <n v="4.0999999999999996"/>
    <n v="111"/>
  </r>
  <r>
    <n v="3.9"/>
    <n v="138.5"/>
  </r>
  <r>
    <n v="3.6"/>
    <n v="68.5"/>
  </r>
  <r>
    <n v="3.9"/>
    <n v="87.5"/>
  </r>
  <r>
    <n v="3.6"/>
    <n v="111.5"/>
  </r>
  <r>
    <n v="3.9"/>
    <n v="84.5"/>
  </r>
  <r>
    <n v="4.4000000000000004"/>
    <n v="102.5"/>
  </r>
  <r>
    <n v="2.6"/>
    <n v="73.5"/>
  </r>
  <r>
    <n v="3.2"/>
    <n v="127.5"/>
  </r>
  <r>
    <n v="3.6"/>
    <n v="93.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731">
  <r>
    <x v="0"/>
    <n v="72"/>
    <s v="Data Scientist"/>
  </r>
  <r>
    <x v="1"/>
    <n v="87.5"/>
    <s v="Healthcare Data Scientist"/>
  </r>
  <r>
    <x v="2"/>
    <n v="85"/>
    <s v="Data Scientist"/>
  </r>
  <r>
    <x v="0"/>
    <n v="76.5"/>
    <s v="Data Scientist"/>
  </r>
  <r>
    <x v="3"/>
    <n v="114.5"/>
    <s v="Data Scientist"/>
  </r>
  <r>
    <x v="1"/>
    <n v="95"/>
    <s v="Data Scientist"/>
  </r>
  <r>
    <x v="4"/>
    <n v="73.5"/>
    <s v="Data Scientist"/>
  </r>
  <r>
    <x v="0"/>
    <n v="114"/>
    <s v="Data Scientist"/>
  </r>
  <r>
    <x v="1"/>
    <n v="61"/>
    <s v="Research Scientist"/>
  </r>
  <r>
    <x v="2"/>
    <n v="140"/>
    <s v="Data Scientist"/>
  </r>
  <r>
    <x v="0"/>
    <n v="163.5"/>
    <s v="Data Scientist"/>
  </r>
  <r>
    <x v="4"/>
    <n v="85"/>
    <s v="Data Scientist"/>
  </r>
  <r>
    <x v="1"/>
    <n v="139"/>
    <s v="Staff Data Scientist - Technology"/>
  </r>
  <r>
    <x v="4"/>
    <n v="65.5"/>
    <s v="Data Analyst"/>
  </r>
  <r>
    <x v="0"/>
    <n v="113.5"/>
    <s v="Data Scientist"/>
  </r>
  <r>
    <x v="0"/>
    <n v="146"/>
    <s v="Data Engineer I"/>
  </r>
  <r>
    <x v="0"/>
    <n v="102"/>
    <s v="Scientist I/II, Biology"/>
  </r>
  <r>
    <x v="4"/>
    <n v="153.5"/>
    <s v="Customer Data Scientist"/>
  </r>
  <r>
    <x v="4"/>
    <n v="142.5"/>
    <s v="Data Scientist - Health Data Analytics"/>
  </r>
  <r>
    <x v="4"/>
    <n v="87.5"/>
    <s v="Data Scientist"/>
  </r>
  <r>
    <x v="1"/>
    <n v="105.5"/>
    <s v="Data Scientist"/>
  </r>
  <r>
    <x v="0"/>
    <n v="96"/>
    <s v="Senior Data Scientist / Machine Learning"/>
  </r>
  <r>
    <x v="0"/>
    <n v="112.5"/>
    <s v="Data Scientist - Quantitative"/>
  </r>
  <r>
    <x v="4"/>
    <n v="84"/>
    <s v="Data Scientist"/>
  </r>
  <r>
    <x v="4"/>
    <n v="143"/>
    <s v="Data Scientist"/>
  </r>
  <r>
    <x v="4"/>
    <n v="86.5"/>
    <s v="Digital Health Data Scientist"/>
  </r>
  <r>
    <x v="0"/>
    <n v="99.5"/>
    <s v="Data Scientist"/>
  </r>
  <r>
    <x v="0"/>
    <n v="47.5"/>
    <s v="Associate Data Analyst"/>
  </r>
  <r>
    <x v="4"/>
    <n v="84"/>
    <s v="Clinical Data Scientist"/>
  </r>
  <r>
    <x v="2"/>
    <n v="85"/>
    <s v="Data Scientist"/>
  </r>
  <r>
    <x v="0"/>
    <n v="76.5"/>
    <s v="Data Scientist"/>
  </r>
  <r>
    <x v="0"/>
    <n v="96"/>
    <s v="Data Scientist"/>
  </r>
  <r>
    <x v="0"/>
    <n v="114.5"/>
    <s v="Data Scientist / Machine Learning Expert"/>
  </r>
  <r>
    <x v="0"/>
    <n v="121"/>
    <s v="Data Scientist"/>
  </r>
  <r>
    <x v="2"/>
    <n v="112.5"/>
    <s v="Data Scientist"/>
  </r>
  <r>
    <x v="4"/>
    <n v="106"/>
    <s v="Web Data Analyst"/>
  </r>
  <r>
    <x v="0"/>
    <n v="107"/>
    <s v="Data Scientist"/>
  </r>
  <r>
    <x v="2"/>
    <n v="110"/>
    <s v="Data Scientist"/>
  </r>
  <r>
    <x v="0"/>
    <n v="147.5"/>
    <s v="Senior Data Scientist"/>
  </r>
  <r>
    <x v="0"/>
    <n v="106"/>
    <s v="Data Engineer"/>
  </r>
  <r>
    <x v="4"/>
    <n v="88"/>
    <s v="Data Analyst"/>
  </r>
  <r>
    <x v="0"/>
    <n v="98.5"/>
    <s v="Data Engineer"/>
  </r>
  <r>
    <x v="4"/>
    <n v="142.5"/>
    <s v="Data Scientist - Algorithms &amp; Inference"/>
  </r>
  <r>
    <x v="1"/>
    <n v="82.5"/>
    <s v="Scientist"/>
  </r>
  <r>
    <x v="4"/>
    <n v="130"/>
    <s v="Senior Data Scientist"/>
  </r>
  <r>
    <x v="2"/>
    <n v="155"/>
    <s v="Data Scientist"/>
  </r>
  <r>
    <x v="0"/>
    <n v="184.5"/>
    <s v="Lead Data Scientist"/>
  </r>
  <r>
    <x v="1"/>
    <n v="29.5"/>
    <s v="Associate Data Analyst"/>
  </r>
  <r>
    <x v="2"/>
    <n v="86.5"/>
    <s v="Spectral Scientist/Engineer"/>
  </r>
  <r>
    <x v="0"/>
    <n v="81"/>
    <s v="College Hire - Data Scientist - Open to December 2019 Graduates"/>
  </r>
  <r>
    <x v="0"/>
    <n v="91"/>
    <s v="Data Scientist"/>
  </r>
  <r>
    <x v="1"/>
    <n v="114.5"/>
    <s v="Data Scientist, Office of Data Science"/>
  </r>
  <r>
    <x v="2"/>
    <n v="68"/>
    <s v="Data Science Analyst"/>
  </r>
  <r>
    <x v="0"/>
    <n v="115"/>
    <s v="Data Scientist"/>
  </r>
  <r>
    <x v="0"/>
    <n v="109.5"/>
    <s v="Data Scientist"/>
  </r>
  <r>
    <x v="0"/>
    <n v="75.5"/>
    <s v="Data Scientist"/>
  </r>
  <r>
    <x v="4"/>
    <n v="154.5"/>
    <s v="Data Scientist"/>
  </r>
  <r>
    <x v="2"/>
    <n v="143.5"/>
    <s v="Data Scientist"/>
  </r>
  <r>
    <x v="4"/>
    <n v="73.5"/>
    <s v="Data Scientist"/>
  </r>
  <r>
    <x v="1"/>
    <n v="95"/>
    <s v="Data Scientist"/>
  </r>
  <r>
    <x v="4"/>
    <n v="107"/>
    <s v="Senior Data Scientist"/>
  </r>
  <r>
    <x v="4"/>
    <n v="115"/>
    <s v="Data Scientist"/>
  </r>
  <r>
    <x v="0"/>
    <n v="139.5"/>
    <s v="Senior Risk Data Scientist"/>
  </r>
  <r>
    <x v="0"/>
    <n v="67"/>
    <s v="Data Scientist in Artificial Intelligence Early Career"/>
  </r>
  <r>
    <x v="0"/>
    <n v="85"/>
    <s v="Data Scientist"/>
  </r>
  <r>
    <x v="3"/>
    <n v="118"/>
    <s v="Data Scientist"/>
  </r>
  <r>
    <x v="2"/>
    <n v="79.5"/>
    <s v="Data Scientist"/>
  </r>
  <r>
    <x v="1"/>
    <n v="56.5"/>
    <s v="Data Scientist - Research"/>
  </r>
  <r>
    <x v="1"/>
    <n v="128.5"/>
    <s v="Data Scientist"/>
  </r>
  <r>
    <x v="4"/>
    <n v="97.5"/>
    <s v="R&amp;D Data Analysis Scientist"/>
  </r>
  <r>
    <x v="4"/>
    <n v="66.5"/>
    <s v="Analytics Consultant"/>
  </r>
  <r>
    <x v="0"/>
    <n v="179.5"/>
    <s v="Director, Data Science"/>
  </r>
  <r>
    <x v="3"/>
    <n v="76"/>
    <s v="Scientist"/>
  </r>
  <r>
    <x v="0"/>
    <n v="112"/>
    <s v="Data Scientist SR"/>
  </r>
  <r>
    <x v="1"/>
    <n v="98"/>
    <s v="Data Scientist"/>
  </r>
  <r>
    <x v="4"/>
    <n v="128"/>
    <s v="R&amp;D Sr Data Scientist"/>
  </r>
  <r>
    <x v="4"/>
    <n v="150.5"/>
    <s v="Customer Data Scientist/Sales Engineer (Bay"/>
  </r>
  <r>
    <x v="3"/>
    <n v="87.5"/>
    <s v="Research Scientist"/>
  </r>
  <r>
    <x v="1"/>
    <n v="110"/>
    <s v="Data Scientist"/>
  </r>
  <r>
    <x v="4"/>
    <n v="113.5"/>
    <s v="Data Scientist"/>
  </r>
  <r>
    <x v="0"/>
    <n v="124"/>
    <s v="Data Scientist"/>
  </r>
  <r>
    <x v="2"/>
    <n v="56.5"/>
    <s v="Jr. Business Data Analyst"/>
  </r>
  <r>
    <x v="2"/>
    <n v="130"/>
    <s v="Data Scientist"/>
  </r>
  <r>
    <x v="4"/>
    <n v="77.5"/>
    <s v="Data Analyst"/>
  </r>
  <r>
    <x v="4"/>
    <n v="87"/>
    <s v="Data Engineer"/>
  </r>
  <r>
    <x v="4"/>
    <n v="53.5"/>
    <s v="Data Analyst"/>
  </r>
  <r>
    <x v="1"/>
    <n v="139"/>
    <s v="Staff Data Scientist - Technology"/>
  </r>
  <r>
    <x v="0"/>
    <n v="114"/>
    <s v="Data Scientist"/>
  </r>
  <r>
    <x v="4"/>
    <n v="85.5"/>
    <s v="Data Scientist"/>
  </r>
  <r>
    <x v="2"/>
    <n v="48"/>
    <s v="Data Management Specialist"/>
  </r>
  <r>
    <x v="0"/>
    <n v="48"/>
    <s v="E-Commerce Data Analyst"/>
  </r>
  <r>
    <x v="0"/>
    <n v="174"/>
    <s v="Sr. Scientist II"/>
  </r>
  <r>
    <x v="0"/>
    <n v="85"/>
    <s v="Insurance Data Scientist"/>
  </r>
  <r>
    <x v="2"/>
    <n v="106.5"/>
    <s v="Data Modeler"/>
  </r>
  <r>
    <x v="4"/>
    <n v="72.5"/>
    <s v="Data Analyst / Scientist"/>
  </r>
  <r>
    <x v="1"/>
    <n v="85.5"/>
    <s v="Scientist"/>
  </r>
  <r>
    <x v="1"/>
    <n v="97.5"/>
    <s v="Data Scientist"/>
  </r>
  <r>
    <x v="0"/>
    <n v="99"/>
    <s v="Data Scientist"/>
  </r>
  <r>
    <x v="1"/>
    <n v="56.5"/>
    <s v="Data Analyst"/>
  </r>
  <r>
    <x v="4"/>
    <n v="133"/>
    <s v="Lead Data Scientist"/>
  </r>
  <r>
    <x v="0"/>
    <n v="121"/>
    <s v="Data Scientist"/>
  </r>
  <r>
    <x v="2"/>
    <n v="85.5"/>
    <s v="Data Scientist"/>
  </r>
  <r>
    <x v="4"/>
    <n v="87.5"/>
    <s v="Data Scientist, Rice University"/>
  </r>
  <r>
    <x v="4"/>
    <n v="237.5"/>
    <s v="Senior Data Scientist"/>
  </r>
  <r>
    <x v="0"/>
    <n v="95.5"/>
    <s v="Data Engineer"/>
  </r>
  <r>
    <x v="1"/>
    <n v="104.5"/>
    <s v="Senior Data Scientist"/>
  </r>
  <r>
    <x v="2"/>
    <n v="56.5"/>
    <s v="Financial Data Analyst"/>
  </r>
  <r>
    <x v="4"/>
    <n v="55"/>
    <s v="Senior Data Analyst"/>
  </r>
  <r>
    <x v="3"/>
    <n v="61.5"/>
    <s v="Research Scientist"/>
  </r>
  <r>
    <x v="2"/>
    <n v="157"/>
    <s v="Data Scientist"/>
  </r>
  <r>
    <x v="1"/>
    <n v="78"/>
    <s v="Data Engineer"/>
  </r>
  <r>
    <x v="0"/>
    <n v="113.5"/>
    <s v="Data Scientist"/>
  </r>
  <r>
    <x v="2"/>
    <n v="140"/>
    <s v="Data Scientist"/>
  </r>
  <r>
    <x v="1"/>
    <n v="132.5"/>
    <s v="Data Scientist"/>
  </r>
  <r>
    <x v="4"/>
    <n v="108"/>
    <s v="Data Engineer"/>
  </r>
  <r>
    <x v="2"/>
    <n v="80.5"/>
    <s v="Ag Data Scientist"/>
  </r>
  <r>
    <x v="3"/>
    <n v="107.5"/>
    <s v="Data Scientist"/>
  </r>
  <r>
    <x v="2"/>
    <n v="95"/>
    <s v="Data Engineer"/>
  </r>
  <r>
    <x v="1"/>
    <n v="119.5"/>
    <s v="Data Scientist II"/>
  </r>
  <r>
    <x v="1"/>
    <n v="134"/>
    <s v="Senior Data Engineer"/>
  </r>
  <r>
    <x v="4"/>
    <n v="100.5"/>
    <s v="Data Scientist"/>
  </r>
  <r>
    <x v="0"/>
    <n v="107.5"/>
    <s v="Data Scientist"/>
  </r>
  <r>
    <x v="4"/>
    <n v="122"/>
    <s v="Data Engineer"/>
  </r>
  <r>
    <x v="4"/>
    <n v="92.5"/>
    <s v="Data Engineer"/>
  </r>
  <r>
    <x v="3"/>
    <n v="62"/>
    <s v="Data Analyst"/>
  </r>
  <r>
    <x v="4"/>
    <n v="39.5"/>
    <s v="Project Scientist"/>
  </r>
  <r>
    <x v="0"/>
    <n v="107.5"/>
    <s v="Data Scientist"/>
  </r>
  <r>
    <x v="0"/>
    <n v="40.5"/>
    <s v="Data Analytics Manager"/>
  </r>
  <r>
    <x v="0"/>
    <n v="89.5"/>
    <s v="Senior Machine Learning (ML) Engineer / Data Scientist - Cyber Security Analytics"/>
  </r>
  <r>
    <x v="4"/>
    <n v="81"/>
    <s v="Data Scientist"/>
  </r>
  <r>
    <x v="4"/>
    <n v="147"/>
    <s v="Senior Data Scientist"/>
  </r>
  <r>
    <x v="1"/>
    <n v="85"/>
    <s v="Data Scientist"/>
  </r>
  <r>
    <x v="3"/>
    <n v="81.5"/>
    <s v="Associate Scientist"/>
  </r>
  <r>
    <x v="0"/>
    <n v="168"/>
    <s v="Scientist 2, QC Viral Vector"/>
  </r>
  <r>
    <x v="4"/>
    <n v="100.5"/>
    <s v="Machine Learning Engineer"/>
  </r>
  <r>
    <x v="1"/>
    <n v="97"/>
    <s v="Data Scientist/ML Engineer"/>
  </r>
  <r>
    <x v="4"/>
    <n v="85"/>
    <s v="Data Scientist"/>
  </r>
  <r>
    <x v="4"/>
    <n v="153.5"/>
    <s v="Customer Data Scientist"/>
  </r>
  <r>
    <x v="2"/>
    <n v="132.5"/>
    <s v="Data Engineer"/>
  </r>
  <r>
    <x v="4"/>
    <n v="100"/>
    <s v="Data Engineer"/>
  </r>
  <r>
    <x v="0"/>
    <n v="105"/>
    <s v="Sr. Data Scientist"/>
  </r>
  <r>
    <x v="4"/>
    <n v="87"/>
    <s v="Data Engineer 4 - Contract"/>
  </r>
  <r>
    <x v="4"/>
    <n v="103.5"/>
    <s v="Data Analyst - Asset Management"/>
  </r>
  <r>
    <x v="3"/>
    <n v="124"/>
    <s v="Senior Research Scientist - Embedded System Development for DevOps"/>
  </r>
  <r>
    <x v="0"/>
    <n v="67"/>
    <s v="Data Scientist - Bioinformatics"/>
  </r>
  <r>
    <x v="0"/>
    <n v="87"/>
    <s v="Data Engineer"/>
  </r>
  <r>
    <x v="4"/>
    <n v="137.5"/>
    <s v="Customer Data Scientist/Sales Engineer"/>
  </r>
  <r>
    <x v="0"/>
    <n v="100"/>
    <s v="Lead Data Scientist"/>
  </r>
  <r>
    <x v="0"/>
    <n v="106.5"/>
    <s v="MongoDB Data Engineer II"/>
  </r>
  <r>
    <x v="0"/>
    <n v="98.5"/>
    <s v="Senior Data Scientist Statistics"/>
  </r>
  <r>
    <x v="2"/>
    <n v="61"/>
    <s v="Senior Data Analyst"/>
  </r>
  <r>
    <x v="4"/>
    <n v="106.5"/>
    <s v="Senior Spark Engineer (Data Science)"/>
  </r>
  <r>
    <x v="0"/>
    <n v="84.5"/>
    <s v="Data Engineer"/>
  </r>
  <r>
    <x v="1"/>
    <n v="109.5"/>
    <s v="BI &amp; Platform Analytics Manager"/>
  </r>
  <r>
    <x v="0"/>
    <n v="164"/>
    <s v="Lead Data Scientist"/>
  </r>
  <r>
    <x v="0"/>
    <n v="169"/>
    <s v="Sr. Data Scientist - Analytics, Personalized Healthcare (PHC)"/>
  </r>
  <r>
    <x v="0"/>
    <n v="142"/>
    <s v="Senior Data Scientist"/>
  </r>
  <r>
    <x v="0"/>
    <n v="76.5"/>
    <s v="Pricipal Scientist Molecular and cellular biologist"/>
  </r>
  <r>
    <x v="0"/>
    <n v="107"/>
    <s v="Data Scientist (Actuary, FSA or ASA)"/>
  </r>
  <r>
    <x v="0"/>
    <n v="171.5"/>
    <s v="Staff Data Scientist"/>
  </r>
  <r>
    <x v="0"/>
    <n v="96"/>
    <s v="Senior Data Scientist / Machine Learning"/>
  </r>
  <r>
    <x v="4"/>
    <n v="142.5"/>
    <s v="Data Scientist - Health Data Analytics"/>
  </r>
  <r>
    <x v="4"/>
    <n v="107"/>
    <s v="Data Engineer 5 - Contract (Remote)"/>
  </r>
  <r>
    <x v="0"/>
    <n v="145"/>
    <s v="Senior Scientist - Neuroscience"/>
  </r>
  <r>
    <x v="3"/>
    <n v="61.5"/>
    <s v="Senior Data Analyst"/>
  </r>
  <r>
    <x v="0"/>
    <n v="42"/>
    <s v="Medical Lab Scientist"/>
  </r>
  <r>
    <x v="3"/>
    <n v="120"/>
    <s v="Risk and Analytics IT, Data Scientist"/>
  </r>
  <r>
    <x v="4"/>
    <n v="62"/>
    <s v="Scientist, Analytical Development"/>
  </r>
  <r>
    <x v="4"/>
    <n v="150.5"/>
    <s v="Senior Data Scientist"/>
  </r>
  <r>
    <x v="4"/>
    <n v="87.5"/>
    <s v="Analytics Manager"/>
  </r>
  <r>
    <x v="4"/>
    <n v="71.5"/>
    <s v="Data Engineer"/>
  </r>
  <r>
    <x v="0"/>
    <n v="51.5"/>
    <s v="Digital Marketing &amp; ECommerce Data Analyst"/>
  </r>
  <r>
    <x v="0"/>
    <n v="151.5"/>
    <s v="Sr. Scientist - Digital &amp; Image Analysis/Computational Pathology"/>
  </r>
  <r>
    <x v="3"/>
    <n v="77.5"/>
    <s v="Senior Data Analyst"/>
  </r>
  <r>
    <x v="0"/>
    <n v="140"/>
    <s v="Principal Scientist - Immunologist"/>
  </r>
  <r>
    <x v="1"/>
    <n v="98.5"/>
    <s v="Senior Data Scientist"/>
  </r>
  <r>
    <x v="0"/>
    <n v="56.5"/>
    <s v="Principal Data Scientist with over 10 years experience"/>
  </r>
  <r>
    <x v="0"/>
    <n v="161.5"/>
    <s v="MED TECH/LAB SCIENTIST - LABORATORY"/>
  </r>
  <r>
    <x v="1"/>
    <n v="147"/>
    <s v="Sr. Scientist, Quantitative Translational Sciences"/>
  </r>
  <r>
    <x v="4"/>
    <n v="61"/>
    <s v="Sr. Data Scientist II"/>
  </r>
  <r>
    <x v="3"/>
    <n v="120"/>
    <s v="Excel / VBA / SQL Data Analyst"/>
  </r>
  <r>
    <x v="1"/>
    <n v="124.5"/>
    <s v="Machine Learning Research Scientist"/>
  </r>
  <r>
    <x v="0"/>
    <n v="148"/>
    <s v="VP, Data Science"/>
  </r>
  <r>
    <x v="2"/>
    <n v="59"/>
    <s v="Senior Data Scientist"/>
  </r>
  <r>
    <x v="0"/>
    <n v="146.5"/>
    <s v="Radar Data Analyst"/>
  </r>
  <r>
    <x v="3"/>
    <n v="91.5"/>
    <s v="PL Actuarial-Lead Data Scientist"/>
  </r>
  <r>
    <x v="1"/>
    <n v="133"/>
    <s v="PV Scientist"/>
  </r>
  <r>
    <x v="2"/>
    <n v="140.5"/>
    <s v="Senior Data &amp; Machine Learning Scientist"/>
  </r>
  <r>
    <x v="0"/>
    <n v="70.5"/>
    <s v="Principal Data Scientist (Computational Chemistry)"/>
  </r>
  <r>
    <x v="1"/>
    <n v="84.5"/>
    <s v="Data Engineer"/>
  </r>
  <r>
    <x v="4"/>
    <n v="93.5"/>
    <s v="Principal Scientist, Chemistry &amp; Immunology"/>
  </r>
  <r>
    <x v="4"/>
    <n v="134.5"/>
    <s v="Software Engineer - Data Visualization"/>
  </r>
  <r>
    <x v="0"/>
    <n v="181"/>
    <s v="Scientist/Senior Scientist, Autoimmune"/>
  </r>
  <r>
    <x v="1"/>
    <n v="84.5"/>
    <s v="Staff Machine Learning Engineer"/>
  </r>
  <r>
    <x v="4"/>
    <n v="205"/>
    <s v="Principal Scientist, Hematology"/>
  </r>
  <r>
    <x v="0"/>
    <n v="48.5"/>
    <s v="Lead Data Engineer"/>
  </r>
  <r>
    <x v="4"/>
    <n v="44.5"/>
    <s v="Marketing Data Analyst"/>
  </r>
  <r>
    <x v="3"/>
    <n v="52.5"/>
    <s v="Medical Laboratory Scientist"/>
  </r>
  <r>
    <x v="3"/>
    <n v="124"/>
    <s v="R&amp;D Specialist/ Food Scientist"/>
  </r>
  <r>
    <x v="0"/>
    <n v="64"/>
    <s v="Senior Research Scientist-Machine Learning"/>
  </r>
  <r>
    <x v="1"/>
    <n v="98"/>
    <s v="Analytics Manager - Data Mart"/>
  </r>
  <r>
    <x v="0"/>
    <n v="56.5"/>
    <s v="Sr. Data Engineer - Contract-to-Hire (Java)"/>
  </r>
  <r>
    <x v="1"/>
    <n v="54"/>
    <s v="MED TECH/LAB SCIENTIST- SOUTH COASTAL LAB"/>
  </r>
  <r>
    <x v="3"/>
    <n v="81"/>
    <s v="Food Scientist - Developer"/>
  </r>
  <r>
    <x v="1"/>
    <n v="107.5"/>
    <s v="Staff Scientist-Downstream Process Development"/>
  </r>
  <r>
    <x v="0"/>
    <n v="112.5"/>
    <s v="Sr. Data Engineer"/>
  </r>
  <r>
    <x v="0"/>
    <n v="89"/>
    <s v="Data Scientist - Quantitative"/>
  </r>
  <r>
    <x v="2"/>
    <n v="100.5"/>
    <s v="Data Scientist"/>
  </r>
  <r>
    <x v="0"/>
    <n v="65"/>
    <s v="Senior Research Statistician- Data Scientist"/>
  </r>
  <r>
    <x v="1"/>
    <n v="41.5"/>
    <s v="Business Data Analyst, SQL"/>
  </r>
  <r>
    <x v="4"/>
    <n v="72.5"/>
    <s v="Medical Technologist / Clinical Laboratory Scientist"/>
  </r>
  <r>
    <x v="2"/>
    <n v="61"/>
    <s v="Data Scientist"/>
  </r>
  <r>
    <x v="1"/>
    <n v="109.5"/>
    <s v="Senior Data Analyst"/>
  </r>
  <r>
    <x v="0"/>
    <n v="84.5"/>
    <s v="BI &amp; Platform Analytics Manager"/>
  </r>
  <r>
    <x v="1"/>
    <n v="87.5"/>
    <s v="Data Engineer"/>
  </r>
  <r>
    <x v="1"/>
    <n v="92.5"/>
    <s v="Data Scientist"/>
  </r>
  <r>
    <x v="1"/>
    <n v="81.5"/>
    <s v="Data Analyst"/>
  </r>
  <r>
    <x v="4"/>
    <n v="79"/>
    <s v="Associate Data Scientist/Computer Scientist"/>
  </r>
  <r>
    <x v="0"/>
    <n v="164"/>
    <s v="Business Intelligence Analyst / Developer"/>
  </r>
  <r>
    <x v="0"/>
    <n v="169"/>
    <s v="Lead Data Scientist"/>
  </r>
  <r>
    <x v="0"/>
    <n v="142"/>
    <s v="Sr. Data Scientist - Analytics, Personalized Healthcare (PHC)"/>
  </r>
  <r>
    <x v="3"/>
    <n v="47.5"/>
    <s v="Senior Data Scientist"/>
  </r>
  <r>
    <x v="0"/>
    <n v="76.5"/>
    <s v="Data Analyst"/>
  </r>
  <r>
    <x v="1"/>
    <n v="69"/>
    <s v="Pricipal Scientist Molecular and cellular biologist"/>
  </r>
  <r>
    <x v="4"/>
    <n v="49"/>
    <s v="Data Analyst"/>
  </r>
  <r>
    <x v="0"/>
    <n v="171.5"/>
    <s v="Data Analyst"/>
  </r>
  <r>
    <x v="0"/>
    <n v="107"/>
    <s v="Staff Data Scientist"/>
  </r>
  <r>
    <x v="0"/>
    <n v="59"/>
    <s v="Data Scientist (Actuary, FSA or ASA)"/>
  </r>
  <r>
    <x v="0"/>
    <n v="88.5"/>
    <s v="System and Data Analyst"/>
  </r>
  <r>
    <x v="4"/>
    <n v="107"/>
    <s v="Data Scientist"/>
  </r>
  <r>
    <x v="4"/>
    <n v="86.5"/>
    <s v="Data Engineer 5 - Contract (Remote)"/>
  </r>
  <r>
    <x v="4"/>
    <n v="84"/>
    <s v="Digital Health Data Scientist"/>
  </r>
  <r>
    <x v="2"/>
    <n v="114.5"/>
    <s v="Data Scientist"/>
  </r>
  <r>
    <x v="0"/>
    <n v="145"/>
    <s v="Data &amp; Analytics Consultant (NYC)"/>
  </r>
  <r>
    <x v="4"/>
    <n v="88"/>
    <s v="Senior Scientist - Neuroscience"/>
  </r>
  <r>
    <x v="4"/>
    <n v="100"/>
    <s v="Data Engineer"/>
  </r>
  <r>
    <x v="3"/>
    <n v="61.5"/>
    <s v="Big Data Engineer - Chicago - Future Opportunity"/>
  </r>
  <r>
    <x v="3"/>
    <n v="96.5"/>
    <s v="Senior Data Analyst"/>
  </r>
  <r>
    <x v="4"/>
    <n v="76"/>
    <s v="Data Scientist"/>
  </r>
  <r>
    <x v="0"/>
    <n v="15.5"/>
    <s v="Survey Data Analyst"/>
  </r>
  <r>
    <x v="4"/>
    <n v="83.5"/>
    <s v="Data Scientist"/>
  </r>
  <r>
    <x v="3"/>
    <n v="120"/>
    <s v="Data Scientist"/>
  </r>
  <r>
    <x v="0"/>
    <n v="163"/>
    <s v="Risk and Analytics IT, Data Scientist"/>
  </r>
  <r>
    <x v="1"/>
    <n v="100"/>
    <s v="Data Scientist"/>
  </r>
  <r>
    <x v="0"/>
    <n v="52.5"/>
    <s v="Lead Health Data Analyst - Front End"/>
  </r>
  <r>
    <x v="0"/>
    <n v="42"/>
    <s v="Research Scientist"/>
  </r>
  <r>
    <x v="1"/>
    <n v="50"/>
    <s v="Medical Lab Scientist"/>
  </r>
  <r>
    <x v="1"/>
    <n v="93"/>
    <s v="Junior Data Analyst"/>
  </r>
  <r>
    <x v="1"/>
    <n v="94.5"/>
    <s v="SQL Data Engineer"/>
  </r>
  <r>
    <x v="4"/>
    <n v="150.5"/>
    <s v="Data Scientist"/>
  </r>
  <r>
    <x v="0"/>
    <n v="102"/>
    <s v="Senior Data Scientist"/>
  </r>
  <r>
    <x v="4"/>
    <n v="62"/>
    <s v="Data Scientist"/>
  </r>
  <r>
    <x v="4"/>
    <n v="87.5"/>
    <s v="Scientist, Analytical Development"/>
  </r>
  <r>
    <x v="4"/>
    <n v="84"/>
    <s v="Analytics Manager"/>
  </r>
  <r>
    <x v="4"/>
    <n v="143"/>
    <s v="Clinical Data Scientist"/>
  </r>
  <r>
    <x v="1"/>
    <n v="155"/>
    <s v="Data Scientist"/>
  </r>
  <r>
    <x v="4"/>
    <n v="71.5"/>
    <s v="Sr. Data Scientist, Cyber-Security LT Contract"/>
  </r>
  <r>
    <x v="0"/>
    <n v="108"/>
    <s v="Data Engineer"/>
  </r>
  <r>
    <x v="0"/>
    <n v="151.5"/>
    <s v="Data Scientist"/>
  </r>
  <r>
    <x v="0"/>
    <n v="51.5"/>
    <s v="Sr. Scientist - Digital &amp; Image Analysis/Computational Pathology"/>
  </r>
  <r>
    <x v="0"/>
    <n v="140"/>
    <s v="Digital Marketing &amp; ECommerce Data Analyst"/>
  </r>
  <r>
    <x v="3"/>
    <n v="77.5"/>
    <s v="Principal Scientist - Immunologist"/>
  </r>
  <r>
    <x v="4"/>
    <n v="63.5"/>
    <s v="Senior Data Analyst"/>
  </r>
  <r>
    <x v="4"/>
    <n v="109"/>
    <s v="Insurance Financial Data Analyst"/>
  </r>
  <r>
    <x v="0"/>
    <n v="96"/>
    <s v="Data Scientist"/>
  </r>
  <r>
    <x v="1"/>
    <n v="101"/>
    <s v="Data Scientist"/>
  </r>
  <r>
    <x v="1"/>
    <n v="98.5"/>
    <s v="Principal Data Scientist with over 10 years experience"/>
  </r>
  <r>
    <x v="0"/>
    <n v="77.5"/>
    <s v="Data Engineer"/>
  </r>
  <r>
    <x v="0"/>
    <n v="161.5"/>
    <s v="Senior Data Scientist"/>
  </r>
  <r>
    <x v="0"/>
    <n v="56.5"/>
    <s v="Data Engineer I - Azure"/>
  </r>
  <r>
    <x v="1"/>
    <n v="147"/>
    <s v="Sr. Scientist, Quantitative Translational Sciences"/>
  </r>
  <r>
    <x v="0"/>
    <n v="90"/>
    <s v="MED TECH/LAB SCIENTIST - LABORATORY"/>
  </r>
  <r>
    <x v="4"/>
    <n v="58"/>
    <s v="Sr. Data Scientist II"/>
  </r>
  <r>
    <x v="4"/>
    <n v="61"/>
    <s v="Data Scientist"/>
  </r>
  <r>
    <x v="3"/>
    <n v="120"/>
    <s v="Information Security Data Analyst"/>
  </r>
  <r>
    <x v="0"/>
    <n v="128"/>
    <s v="Excel / VBA / SQL Data Analyst"/>
  </r>
  <r>
    <x v="0"/>
    <n v="99.5"/>
    <s v="Machine Learning Research Scientist"/>
  </r>
  <r>
    <x v="0"/>
    <n v="96"/>
    <s v="Data Scientist"/>
  </r>
  <r>
    <x v="3"/>
    <n v="101"/>
    <s v="Data Scientist"/>
  </r>
  <r>
    <x v="0"/>
    <n v="148"/>
    <s v="Data Scientist"/>
  </r>
  <r>
    <x v="4"/>
    <n v="142"/>
    <s v="Data Scientist"/>
  </r>
  <r>
    <x v="4"/>
    <n v="169"/>
    <s v="Senior Data Scientist"/>
  </r>
  <r>
    <x v="1"/>
    <n v="124.5"/>
    <s v="Data Scientist, Senior"/>
  </r>
  <r>
    <x v="2"/>
    <n v="59"/>
    <s v="Senior Data Scientist"/>
  </r>
  <r>
    <x v="4"/>
    <n v="52.5"/>
    <s v="VP, Data Science"/>
  </r>
  <r>
    <x v="2"/>
    <n v="75.5"/>
    <s v="Radar Data Analyst"/>
  </r>
  <r>
    <x v="0"/>
    <n v="139"/>
    <s v="CONSULTANTâ€“ DATA ANALYTICS GROUP"/>
  </r>
  <r>
    <x v="0"/>
    <n v="102.5"/>
    <s v="Data Engineer"/>
  </r>
  <r>
    <x v="4"/>
    <n v="60.5"/>
    <s v="Senior Data Scientist"/>
  </r>
  <r>
    <x v="0"/>
    <n v="146.5"/>
    <s v="Data Engineer, Data Engineering and Artifical Intelligence"/>
  </r>
  <r>
    <x v="0"/>
    <n v="125"/>
    <s v="Staff Scientist"/>
  </r>
  <r>
    <x v="0"/>
    <n v="81"/>
    <s v="PL Actuarial-Lead Data Scientist"/>
  </r>
  <r>
    <x v="1"/>
    <n v="133"/>
    <s v="Associate Scientist/Scientist, Process Analytical Technology - Small Molecule Analytical Chemistry"/>
  </r>
  <r>
    <x v="1"/>
    <n v="77"/>
    <s v="Sr. Data Analyst"/>
  </r>
  <r>
    <x v="4"/>
    <n v="92"/>
    <s v="Senior Data &amp; Machine Learning Scientist"/>
  </r>
  <r>
    <x v="0"/>
    <n v="121"/>
    <s v="Program/Data Analyst"/>
  </r>
  <r>
    <x v="4"/>
    <n v="162.5"/>
    <s v="Data Engineer"/>
  </r>
  <r>
    <x v="0"/>
    <n v="60"/>
    <s v="Senior Data Scientist: Causal &amp; Predictive analytics AI Innovation Lab"/>
  </r>
  <r>
    <x v="4"/>
    <n v="90.5"/>
    <s v="Principal Data Engineer, Data Platform &amp; Insights"/>
  </r>
  <r>
    <x v="0"/>
    <n v="114.5"/>
    <s v="RESEARCH SCIENTIST - BIOLOGICAL SAFETY"/>
  </r>
  <r>
    <x v="0"/>
    <n v="121"/>
    <s v="Data Operations Lead"/>
  </r>
  <r>
    <x v="3"/>
    <n v="110"/>
    <s v="Big Data Engineer"/>
  </r>
  <r>
    <x v="3"/>
    <n v="91.5"/>
    <s v="Data Scientist / Machine Learning Expert"/>
  </r>
  <r>
    <x v="4"/>
    <n v="70.5"/>
    <s v="Data Scientist"/>
  </r>
  <r>
    <x v="0"/>
    <n v="70.5"/>
    <s v="Senior Data Scientist"/>
  </r>
  <r>
    <x v="0"/>
    <n v="76.5"/>
    <s v="PV Scientist"/>
  </r>
  <r>
    <x v="0"/>
    <n v="92"/>
    <s v="Clinical Data Analyst"/>
  </r>
  <r>
    <x v="2"/>
    <n v="140.5"/>
    <s v="Data Engineer"/>
  </r>
  <r>
    <x v="0"/>
    <n v="82"/>
    <s v="Computational Chemist/Data Scientist"/>
  </r>
  <r>
    <x v="1"/>
    <n v="84.5"/>
    <s v="Data Engineer"/>
  </r>
  <r>
    <x v="4"/>
    <n v="134.5"/>
    <s v="Principal Data Scientist (Computational Chemistry)"/>
  </r>
  <r>
    <x v="1"/>
    <n v="164.5"/>
    <s v="Product Engineer â€“ Data Science"/>
  </r>
  <r>
    <x v="1"/>
    <n v="44"/>
    <s v="Principal Scientist, Chemistry &amp; Immunology"/>
  </r>
  <r>
    <x v="4"/>
    <n v="93.5"/>
    <s v="Scientist/Senior Scientist, Autoimmune"/>
  </r>
  <r>
    <x v="4"/>
    <n v="109"/>
    <s v="Data Scientist"/>
  </r>
  <r>
    <x v="0"/>
    <n v="149.5"/>
    <s v="Market Data Analyst"/>
  </r>
  <r>
    <x v="0"/>
    <n v="65.5"/>
    <s v="Software Engineer - Data Visualization"/>
  </r>
  <r>
    <x v="0"/>
    <n v="124.5"/>
    <s v="Data Engineer"/>
  </r>
  <r>
    <x v="3"/>
    <n v="114"/>
    <s v="Staff Data Engineer"/>
  </r>
  <r>
    <x v="0"/>
    <n v="49"/>
    <s v="Associate Data Engineer"/>
  </r>
  <r>
    <x v="1"/>
    <n v="84.5"/>
    <s v="Senior Data Scientist"/>
  </r>
  <r>
    <x v="0"/>
    <n v="71"/>
    <s v="Staff BI and Data Engineer"/>
  </r>
  <r>
    <x v="0"/>
    <n v="101"/>
    <s v="Marketing Data Analyst"/>
  </r>
  <r>
    <x v="0"/>
    <n v="107"/>
    <s v="Principal Scientist, Hematology"/>
  </r>
  <r>
    <x v="2"/>
    <n v="112.5"/>
    <s v="Data Analyst"/>
  </r>
  <r>
    <x v="0"/>
    <n v="181"/>
    <s v="Director - Data, Privacy and AI Governance"/>
  </r>
  <r>
    <x v="0"/>
    <n v="61"/>
    <s v="Data Scientist"/>
  </r>
  <r>
    <x v="4"/>
    <n v="205"/>
    <s v="Data Scientist"/>
  </r>
  <r>
    <x v="1"/>
    <n v="103.5"/>
    <s v="Staff Machine Learning Engineer"/>
  </r>
  <r>
    <x v="0"/>
    <n v="63"/>
    <s v="Information Security Data Analyst"/>
  </r>
  <r>
    <x v="1"/>
    <n v="62.5"/>
    <s v="Lead Data Engineer"/>
  </r>
  <r>
    <x v="0"/>
    <n v="94.5"/>
    <s v="Scientist Manufacturing - Kentucky BioProcessing"/>
  </r>
  <r>
    <x v="0"/>
    <n v="48.5"/>
    <s v="Data Analytics Project Manager"/>
  </r>
  <r>
    <x v="0"/>
    <n v="154.5"/>
    <s v="Consultant - Analytics Consulting"/>
  </r>
  <r>
    <x v="4"/>
    <n v="44.5"/>
    <s v="Data Engineer"/>
  </r>
  <r>
    <x v="0"/>
    <n v="87"/>
    <s v="Marketing Data Analyst"/>
  </r>
  <r>
    <x v="3"/>
    <n v="52.5"/>
    <s v="Senior Scientist (Neuroscience)"/>
  </r>
  <r>
    <x v="1"/>
    <n v="64.5"/>
    <s v="Medical Laboratory Scientist"/>
  </r>
  <r>
    <x v="3"/>
    <n v="111.5"/>
    <s v="Machine Learning Engineer - Regulatory"/>
  </r>
  <r>
    <x v="0"/>
    <n v="154.5"/>
    <s v="R&amp;D Specialist/ Food Scientist"/>
  </r>
  <r>
    <x v="3"/>
    <n v="124"/>
    <s v="Data Engineer"/>
  </r>
  <r>
    <x v="4"/>
    <n v="128.5"/>
    <s v="Scientist, Bacteriology"/>
  </r>
  <r>
    <x v="0"/>
    <n v="65"/>
    <s v="Associate Director, Platform and DevOps- Data Engineering and Aritifical Intelligence"/>
  </r>
  <r>
    <x v="0"/>
    <n v="64"/>
    <s v="Senior Research Scientist-Machine Learning"/>
  </r>
  <r>
    <x v="1"/>
    <n v="98"/>
    <s v="Senior Data Scientist"/>
  </r>
  <r>
    <x v="4"/>
    <n v="142.5"/>
    <s v="Clinical Laboratory Scientist"/>
  </r>
  <r>
    <x v="0"/>
    <n v="137"/>
    <s v="Analytics Manager - Data Mart"/>
  </r>
  <r>
    <x v="4"/>
    <n v="99"/>
    <s v="Sr. Data Engineer - Contract-to-Hire (Java)"/>
  </r>
  <r>
    <x v="1"/>
    <n v="54"/>
    <s v="Data Scientist - Algorithms &amp; Inference"/>
  </r>
  <r>
    <x v="4"/>
    <n v="139.5"/>
    <s v="Senior Data Scientist - R&amp;D Oncology"/>
  </r>
  <r>
    <x v="1"/>
    <n v="109"/>
    <s v="Data Engineer"/>
  </r>
  <r>
    <x v="1"/>
    <n v="254"/>
    <s v="Food Scientist - Developer"/>
  </r>
  <r>
    <x v="3"/>
    <n v="73"/>
    <s v="Senior Data Scientist"/>
  </r>
  <r>
    <x v="3"/>
    <n v="81"/>
    <s v="Data Engineer"/>
  </r>
  <r>
    <x v="0"/>
    <n v="56.5"/>
    <s v="Director II, Data Science - GRM Actuarial"/>
  </r>
  <r>
    <x v="1"/>
    <n v="99.5"/>
    <s v="Scientist, Molecular/Cellular Biologist"/>
  </r>
  <r>
    <x v="1"/>
    <n v="45.5"/>
    <s v="Staff Scientist-Downstream Process Development"/>
  </r>
  <r>
    <x v="2"/>
    <n v="122.5"/>
    <s v="MED TECH/LAB SCIENTIST- SOUTH COASTAL LAB"/>
  </r>
  <r>
    <x v="0"/>
    <n v="140"/>
    <s v="Scientist - Analytical Services"/>
  </r>
  <r>
    <x v="1"/>
    <n v="77.5"/>
    <s v="Associate Data Analyst- Graduate Development Program"/>
  </r>
  <r>
    <x v="1"/>
    <n v="55"/>
    <s v="Sr. Data Engineer"/>
  </r>
  <r>
    <x v="1"/>
    <n v="117.5"/>
    <s v="Senior Insurance Data Scientist"/>
  </r>
  <r>
    <x v="3"/>
    <n v="70.5"/>
    <s v="Senior Data Science Systems Engineer"/>
  </r>
  <r>
    <x v="2"/>
    <n v="61.5"/>
    <s v="ENVIRONMENTAL ENGINEER/SCIENTIST"/>
  </r>
  <r>
    <x v="3"/>
    <n v="70"/>
    <s v="Senior Scientist - Regulatory Submissions"/>
  </r>
  <r>
    <x v="3"/>
    <n v="80"/>
    <s v="Scientist - Biomarker and Flow Cytometry"/>
  </r>
  <r>
    <x v="1"/>
    <n v="90"/>
    <s v="Revenue Analytics Manager"/>
  </r>
  <r>
    <x v="3"/>
    <n v="73.5"/>
    <s v="Associate Scientist, LC/MS Biologics"/>
  </r>
  <r>
    <x v="0"/>
    <n v="91"/>
    <s v="Sr. Scientist Method Development"/>
  </r>
  <r>
    <x v="2"/>
    <n v="155"/>
    <s v="IT - Data Engineer II"/>
  </r>
  <r>
    <x v="0"/>
    <n v="129.5"/>
    <s v="Research Scientist, Immunology - Cancer Biology"/>
  </r>
  <r>
    <x v="4"/>
    <n v="167.5"/>
    <s v="Project Scientist - Auton Lab, Robotics Institute"/>
  </r>
  <r>
    <x v="0"/>
    <n v="60"/>
    <s v="Data Scientist"/>
  </r>
  <r>
    <x v="0"/>
    <n v="180"/>
    <s v="Data Scientist"/>
  </r>
  <r>
    <x v="0"/>
    <n v="65"/>
    <s v="Enterprise Architect, Data"/>
  </r>
  <r>
    <x v="4"/>
    <n v="112.5"/>
    <s v="Senior Manager, Epidemiologic Data Scientist"/>
  </r>
  <r>
    <x v="3"/>
    <n v="87.5"/>
    <s v="Corporate Risk Data Analyst (SQL Based) - Milwaukee or"/>
  </r>
  <r>
    <x v="1"/>
    <n v="51.5"/>
    <s v="Lead Data Scientist"/>
  </r>
  <r>
    <x v="2"/>
    <n v="51"/>
    <s v="Marketing Data Analyst, May 2020 Undergrad"/>
  </r>
  <r>
    <x v="1"/>
    <n v="62.5"/>
    <s v="Senior Data Engineer"/>
  </r>
  <r>
    <x v="1"/>
    <n v="100"/>
    <s v="Senior Data Analyst"/>
  </r>
  <r>
    <x v="4"/>
    <n v="85"/>
    <s v="Data Modeler - Data Solutions Engineer"/>
  </r>
  <r>
    <x v="0"/>
    <n v="122"/>
    <s v="Associate Environmental Scientist - Wildlife Biologist"/>
  </r>
  <r>
    <x v="0"/>
    <n v="66.5"/>
    <s v="Associate, Data Science, Internal Audit"/>
  </r>
  <r>
    <x v="2"/>
    <n v="70.5"/>
    <s v="Sr Data Engineer (Sr BI Developer)"/>
  </r>
  <r>
    <x v="2"/>
    <n v="138.5"/>
    <s v="Data Engineer"/>
  </r>
  <r>
    <x v="1"/>
    <n v="107.5"/>
    <s v="Senior LiDAR Data Scientist"/>
  </r>
  <r>
    <x v="0"/>
    <n v="120.5"/>
    <s v="Salesforce Analytics Consultant"/>
  </r>
  <r>
    <x v="3"/>
    <n v="81"/>
    <s v="Technology-Minded, Data Professional Opportunities"/>
  </r>
  <r>
    <x v="1"/>
    <n v="103.5"/>
    <s v="Senior Data Engineer"/>
  </r>
  <r>
    <x v="1"/>
    <n v="107.5"/>
    <s v="Managing Data Scientist/ML Engineer"/>
  </r>
  <r>
    <x v="4"/>
    <n v="162"/>
    <s v="Scientist, Pharmacometrics"/>
  </r>
  <r>
    <x v="0"/>
    <n v="68.5"/>
    <s v="Staff Scientist- Upstream PD"/>
  </r>
  <r>
    <x v="1"/>
    <n v="110.5"/>
    <s v="Scientist Manufacturing Pharma - Kentucky BioProcessing"/>
  </r>
  <r>
    <x v="0"/>
    <n v="81"/>
    <s v="Sr. Data Engineer"/>
  </r>
  <r>
    <x v="4"/>
    <n v="130"/>
    <s v="Lead Big Data Engineer"/>
  </r>
  <r>
    <x v="0"/>
    <n v="115.5"/>
    <s v="Product Engineer â€“ Spatial Data Science and Statistical Analysis"/>
  </r>
  <r>
    <x v="0"/>
    <n v="80.5"/>
    <s v="Sr Software Engineer (Data Scientist)"/>
  </r>
  <r>
    <x v="2"/>
    <n v="43"/>
    <s v="College Hire - Data Scientist - Open to December 2019 Graduates"/>
  </r>
  <r>
    <x v="4"/>
    <n v="140"/>
    <s v="Senior Data Scientist"/>
  </r>
  <r>
    <x v="1"/>
    <n v="66.5"/>
    <s v="Sr. Data Engineer (ETL Developer)"/>
  </r>
  <r>
    <x v="2"/>
    <n v="94.5"/>
    <s v="Senior Data Scientist Artificial Intelligence"/>
  </r>
  <r>
    <x v="0"/>
    <n v="119"/>
    <s v="Analytics - Business Assurance Data Analyst"/>
  </r>
  <r>
    <x v="1"/>
    <n v="51.5"/>
    <s v="Associate Director/Director, Safety Scientist"/>
  </r>
  <r>
    <x v="3"/>
    <n v="27.5"/>
    <s v="Senior Scientist, Cell Pharmacology/Assay Development"/>
  </r>
  <r>
    <x v="1"/>
    <n v="194.5"/>
    <s v="Data Analyst Senior"/>
  </r>
  <r>
    <x v="0"/>
    <n v="71.5"/>
    <s v="Lead Data Engineer (Python)"/>
  </r>
  <r>
    <x v="0"/>
    <n v="105.5"/>
    <s v="Senior Data Scientist 4 Artificial Intelligence"/>
  </r>
  <r>
    <x v="1"/>
    <n v="74"/>
    <s v="Medical Lab Scientist - MLT"/>
  </r>
  <r>
    <x v="0"/>
    <n v="62.5"/>
    <s v="Senior Operations Data Analyst, Call Center Operations"/>
  </r>
  <r>
    <x v="4"/>
    <n v="65.5"/>
    <s v="Director II, Data Science - GRS Predictive Analytics"/>
  </r>
  <r>
    <x v="0"/>
    <n v="161.5"/>
    <s v="RESEARCH COMPUTER SCIENTIST - RESEARCH ENGINEER - SR. COMPUTER SCIENTIST - SOFTWARE DEVELOPMENT"/>
  </r>
  <r>
    <x v="3"/>
    <n v="72.5"/>
    <s v="Geospatial Software Developer and Data Scientist"/>
  </r>
  <r>
    <x v="0"/>
    <n v="139"/>
    <s v="Senior Scientist - Toxicologist - Product Integrity (Stewardship)"/>
  </r>
  <r>
    <x v="0"/>
    <n v="136.5"/>
    <s v="Systems Engineer II - Data Analyst"/>
  </r>
  <r>
    <x v="0"/>
    <n v="74.5"/>
    <s v="Senior Research Analytical Scientist-Non-Targeted Analysis"/>
  </r>
  <r>
    <x v="1"/>
    <n v="80.5"/>
    <s v="Director Data Science"/>
  </r>
  <r>
    <x v="0"/>
    <n v="75.5"/>
    <s v="Sr Data Analyst - IT"/>
  </r>
  <r>
    <x v="2"/>
    <n v="143.5"/>
    <s v="Senior Data Engineer"/>
  </r>
  <r>
    <x v="2"/>
    <n v="101"/>
    <s v="Senior Data Engineer"/>
  </r>
  <r>
    <x v="0"/>
    <n v="92"/>
    <s v="Associate Machine Learning Engineer / Data Scientist May 2020 Undergrad"/>
  </r>
  <r>
    <x v="0"/>
    <n v="76.5"/>
    <s v="Senior Scientist - Biostatistician"/>
  </r>
  <r>
    <x v="2"/>
    <n v="140.5"/>
    <s v="Data Scientist"/>
  </r>
  <r>
    <x v="0"/>
    <n v="116.5"/>
    <s v="Data Scientist"/>
  </r>
  <r>
    <x v="2"/>
    <n v="232.5"/>
    <s v="Data Scientist"/>
  </r>
  <r>
    <x v="0"/>
    <n v="120.5"/>
    <s v="Data Engineer"/>
  </r>
  <r>
    <x v="0"/>
    <n v="82"/>
    <s v="Computational Chemist/Data Scientist"/>
  </r>
  <r>
    <x v="1"/>
    <n v="84.5"/>
    <s v="Principal Data Scientist (Computational Chemistry)"/>
  </r>
  <r>
    <x v="3"/>
    <n v="153"/>
    <s v="Data Scientist"/>
  </r>
  <r>
    <x v="1"/>
    <n v="127"/>
    <s v="Principal Machine Learning Scientist"/>
  </r>
  <r>
    <x v="2"/>
    <n v="85.5"/>
    <s v="Data Scientist"/>
  </r>
  <r>
    <x v="3"/>
    <n v="76.5"/>
    <s v="Product Engineer â€“ Data Science"/>
  </r>
  <r>
    <x v="0"/>
    <n v="128"/>
    <s v="Principal Scientist, Chemistry &amp; Immunology"/>
  </r>
  <r>
    <x v="1"/>
    <n v="91.5"/>
    <s v="Data Scientist"/>
  </r>
  <r>
    <x v="4"/>
    <n v="134.5"/>
    <s v="Data Scientist"/>
  </r>
  <r>
    <x v="1"/>
    <n v="164.5"/>
    <s v="Data Scientist"/>
  </r>
  <r>
    <x v="4"/>
    <n v="93.5"/>
    <s v="Data Scientist"/>
  </r>
  <r>
    <x v="1"/>
    <n v="44"/>
    <s v="Data Scientist"/>
  </r>
  <r>
    <x v="0"/>
    <n v="149.5"/>
    <s v="Data Engineer"/>
  </r>
  <r>
    <x v="0"/>
    <n v="65.5"/>
    <s v="Scientist/Senior Scientist, Autoimmune"/>
  </r>
  <r>
    <x v="4"/>
    <n v="109"/>
    <s v="Data Scientist"/>
  </r>
  <r>
    <x v="0"/>
    <n v="177"/>
    <s v="Software Engineer - Data Visualization"/>
  </r>
  <r>
    <x v="2"/>
    <n v="107"/>
    <s v="Market Data Analyst"/>
  </r>
  <r>
    <x v="4"/>
    <n v="154.5"/>
    <s v="Staff Data Engineer"/>
  </r>
  <r>
    <x v="4"/>
    <n v="113.5"/>
    <s v="Associate Data Engineer"/>
  </r>
  <r>
    <x v="0"/>
    <n v="124.5"/>
    <s v="Data Engineer"/>
  </r>
  <r>
    <x v="3"/>
    <n v="143.5"/>
    <s v="Staff Data Engineer"/>
  </r>
  <r>
    <x v="0"/>
    <n v="113.5"/>
    <s v="Data Scientist"/>
  </r>
  <r>
    <x v="1"/>
    <n v="101.5"/>
    <s v="Data Scientist"/>
  </r>
  <r>
    <x v="0"/>
    <n v="73"/>
    <s v="Data Scientist"/>
  </r>
  <r>
    <x v="0"/>
    <n v="80.5"/>
    <s v="Senior Data Scientist"/>
  </r>
  <r>
    <x v="3"/>
    <n v="114"/>
    <s v="Data Scientist"/>
  </r>
  <r>
    <x v="0"/>
    <n v="139.5"/>
    <s v="Data Scientist"/>
  </r>
  <r>
    <x v="2"/>
    <n v="145.5"/>
    <s v="Data Scientist"/>
  </r>
  <r>
    <x v="4"/>
    <n v="87"/>
    <s v="Data Analyst, Performance Partnership"/>
  </r>
  <r>
    <x v="4"/>
    <n v="100.5"/>
    <s v="Data Scientist"/>
  </r>
  <r>
    <x v="0"/>
    <n v="147"/>
    <s v="Data Scientist"/>
  </r>
  <r>
    <x v="0"/>
    <n v="110.5"/>
    <s v="Staff BI and Data Engineer"/>
  </r>
  <r>
    <x v="0"/>
    <n v="49"/>
    <s v="Data Scientist"/>
  </r>
  <r>
    <x v="2"/>
    <n v="94"/>
    <s v="Data Scientist"/>
  </r>
  <r>
    <x v="4"/>
    <n v="123.5"/>
    <s v="Data Scientist"/>
  </r>
  <r>
    <x v="1"/>
    <n v="84.5"/>
    <s v="Data Scientist"/>
  </r>
  <r>
    <x v="0"/>
    <n v="71"/>
    <s v="Data Scientist Manager"/>
  </r>
  <r>
    <x v="4"/>
    <n v="73"/>
    <s v="Data Engineer"/>
  </r>
  <r>
    <x v="0"/>
    <n v="101"/>
    <s v="Marketing Data Analyst"/>
  </r>
  <r>
    <x v="0"/>
    <n v="181"/>
    <s v="Data Scientist"/>
  </r>
  <r>
    <x v="0"/>
    <n v="109.5"/>
    <s v="Senior Data Scientist"/>
  </r>
  <r>
    <x v="0"/>
    <n v="184.5"/>
    <s v="Principal Scientist, Hematology"/>
  </r>
  <r>
    <x v="0"/>
    <n v="165"/>
    <s v="Data Analyst"/>
  </r>
  <r>
    <x v="0"/>
    <n v="61"/>
    <s v="Software Data Engineer - College"/>
  </r>
  <r>
    <x v="4"/>
    <n v="205"/>
    <s v="Director - Data, Privacy and AI Governance"/>
  </r>
  <r>
    <x v="1"/>
    <n v="59.5"/>
    <s v="Staff Machine Learning Engineer"/>
  </r>
  <r>
    <x v="1"/>
    <n v="103.5"/>
    <s v="Data Scientist"/>
  </r>
  <r>
    <x v="1"/>
    <n v="62.5"/>
    <s v="Lead Data Scientist"/>
  </r>
  <r>
    <x v="0"/>
    <n v="63"/>
    <s v="Senior Data Scientist - Algorithms"/>
  </r>
  <r>
    <x v="0"/>
    <n v="66"/>
    <s v="Information Security Data Analyst"/>
  </r>
  <r>
    <x v="0"/>
    <n v="94.5"/>
    <s v="Lead Data Engineer"/>
  </r>
  <r>
    <x v="4"/>
    <n v="75.5"/>
    <s v="Data Analyst"/>
  </r>
  <r>
    <x v="4"/>
    <n v="87"/>
    <s v="Scientist Manufacturing - Kentucky BioProcessing"/>
  </r>
  <r>
    <x v="0"/>
    <n v="140"/>
    <s v="Consultant - Analytics Consulting"/>
  </r>
  <r>
    <x v="0"/>
    <n v="86"/>
    <s v="Data Analytics Project Manager"/>
  </r>
  <r>
    <x v="4"/>
    <n v="116.5"/>
    <s v="Data Analyst"/>
  </r>
  <r>
    <x v="0"/>
    <n v="154.5"/>
    <s v="Data Engineer"/>
  </r>
  <r>
    <x v="0"/>
    <n v="87"/>
    <s v="Data Scientist"/>
  </r>
  <r>
    <x v="0"/>
    <n v="48.5"/>
    <s v="Machine Learning Engineer"/>
  </r>
  <r>
    <x v="1"/>
    <n v="80"/>
    <s v="Senior Data Scientist Oncology"/>
  </r>
  <r>
    <x v="4"/>
    <n v="44.5"/>
    <s v="Data Scientist"/>
  </r>
  <r>
    <x v="3"/>
    <n v="52.5"/>
    <s v="Senior Data Scientist"/>
  </r>
  <r>
    <x v="0"/>
    <n v="173"/>
    <s v="Senior Scientist (Neuroscience)"/>
  </r>
  <r>
    <x v="0"/>
    <n v="68.5"/>
    <s v="Machine Learning Engineer - Regulatory"/>
  </r>
  <r>
    <x v="4"/>
    <n v="172"/>
    <s v="Marketing Data Analyst"/>
  </r>
  <r>
    <x v="1"/>
    <n v="114.5"/>
    <s v="Data Engineer"/>
  </r>
  <r>
    <x v="0"/>
    <n v="95"/>
    <s v="Medical Laboratory Scientist"/>
  </r>
  <r>
    <x v="1"/>
    <n v="69.5"/>
    <s v="R&amp;D Specialist/ Food Scientist"/>
  </r>
  <r>
    <x v="1"/>
    <n v="64.5"/>
    <s v="Principal Data Scientist"/>
  </r>
  <r>
    <x v="3"/>
    <n v="111.5"/>
    <s v="Data Engineer"/>
  </r>
  <r>
    <x v="4"/>
    <n v="97.5"/>
    <s v="Data Scientist - Alpha Insights"/>
  </r>
  <r>
    <x v="0"/>
    <n v="154.5"/>
    <s v="Data Scientist, Office of Data Science"/>
  </r>
  <r>
    <x v="3"/>
    <n v="124"/>
    <s v="Associate Principal Scientist, Pharmacogenomics"/>
  </r>
  <r>
    <x v="1"/>
    <n v="95"/>
    <s v="Data Scientist - Systems Engineering"/>
  </r>
  <r>
    <x v="4"/>
    <n v="128.5"/>
    <s v="Data Engineer"/>
  </r>
  <r>
    <x v="1"/>
    <n v="194"/>
    <s v="Scientist, Bacteriology"/>
  </r>
  <r>
    <x v="0"/>
    <n v="104.5"/>
    <s v="Data Scientist"/>
  </r>
  <r>
    <x v="0"/>
    <n v="65"/>
    <s v="Associate Director, Platform and DevOps- Data Engineering and Aritifical Intelligence"/>
  </r>
  <r>
    <x v="4"/>
    <n v="85.5"/>
    <s v="Senior Research Scientist-Machine Learning"/>
  </r>
  <r>
    <x v="4"/>
    <n v="50"/>
    <s v="Data Scientist"/>
  </r>
  <r>
    <x v="1"/>
    <n v="113"/>
    <s v="Senior Data Scientist"/>
  </r>
  <r>
    <x v="0"/>
    <n v="90.5"/>
    <s v="Principal Data Scientist"/>
  </r>
  <r>
    <x v="4"/>
    <n v="153"/>
    <s v="Data Scientist"/>
  </r>
  <r>
    <x v="1"/>
    <n v="123.5"/>
    <s v="Clinical Laboratory Scientist"/>
  </r>
  <r>
    <x v="0"/>
    <n v="47"/>
    <s v="Data Engineer - Consultant (Charlotte Based)"/>
  </r>
  <r>
    <x v="0"/>
    <n v="64"/>
    <s v="Data Analyst 1, full-time contract worker for up to 12 months"/>
  </r>
  <r>
    <x v="4"/>
    <n v="162"/>
    <s v="Data Engineer"/>
  </r>
  <r>
    <x v="0"/>
    <n v="137"/>
    <s v="Scientist, Immuno-Oncology"/>
  </r>
  <r>
    <x v="1"/>
    <n v="98"/>
    <s v="Senior Data Scientist"/>
  </r>
  <r>
    <x v="0"/>
    <n v="115"/>
    <s v="Products Data Analyst II"/>
  </r>
  <r>
    <x v="0"/>
    <n v="133.5"/>
    <s v="Lead Data Analyst"/>
  </r>
  <r>
    <x v="4"/>
    <n v="99"/>
    <s v="Analytics Manager - Data Mart"/>
  </r>
  <r>
    <x v="1"/>
    <n v="54"/>
    <s v="Data Science Engineer - Mobile"/>
  </r>
  <r>
    <x v="1"/>
    <n v="109"/>
    <s v="Senior Data Scientist - R&amp;D Oncology"/>
  </r>
  <r>
    <x v="1"/>
    <n v="109"/>
    <s v="Sr. Data Engineer - Contract-to-Hire (Java)"/>
  </r>
  <r>
    <x v="4"/>
    <n v="139.5"/>
    <s v="Data Scientist"/>
  </r>
  <r>
    <x v="1"/>
    <n v="254"/>
    <s v="Senior Data Scientist"/>
  </r>
  <r>
    <x v="1"/>
    <n v="125"/>
    <s v="Data Engineer"/>
  </r>
  <r>
    <x v="0"/>
    <n v="106.5"/>
    <s v="Food Scientist - Developer"/>
  </r>
  <r>
    <x v="3"/>
    <n v="73"/>
    <s v="Senior Data Engineer"/>
  </r>
  <r>
    <x v="3"/>
    <n v="81"/>
    <s v="Data Engineer"/>
  </r>
  <r>
    <x v="0"/>
    <n v="56.5"/>
    <s v="Senior Data Scientist"/>
  </r>
  <r>
    <x v="1"/>
    <n v="99.5"/>
    <s v="Director II, Data Science - GRM Actuarial"/>
  </r>
  <r>
    <x v="1"/>
    <n v="45.5"/>
    <s v="Machine Learning Engineer"/>
  </r>
  <r>
    <x v="0"/>
    <n v="54"/>
    <s v="Sr Expert Data Science, Advanced Visual Analytics (Associate level)"/>
  </r>
  <r>
    <x v="2"/>
    <n v="122.5"/>
    <s v="Scientist, Molecular/Cellular Biologist"/>
  </r>
  <r>
    <x v="1"/>
    <n v="37.5"/>
    <s v="Staff Scientist-Downstream Process Development"/>
  </r>
  <r>
    <x v="0"/>
    <n v="53.5"/>
    <s v="MED TECH/LAB SCIENTIST- SOUTH COASTAL LAB"/>
  </r>
  <r>
    <x v="0"/>
    <n v="140"/>
    <s v="Scientist - Analytical Services"/>
  </r>
  <r>
    <x v="1"/>
    <n v="77.5"/>
    <s v="Associate Data Analyst- Graduate Development Program"/>
  </r>
  <r>
    <x v="1"/>
    <n v="55"/>
    <s v="IT Associate Data Analyst"/>
  </r>
  <r>
    <x v="1"/>
    <n v="117.5"/>
    <s v="Sr. Data Engineer"/>
  </r>
  <r>
    <x v="3"/>
    <n v="70.5"/>
    <s v="Clinical Data Analyst"/>
  </r>
  <r>
    <x v="3"/>
    <n v="70"/>
    <s v="Business Data Analyst"/>
  </r>
  <r>
    <x v="2"/>
    <n v="61.5"/>
    <s v="Senior Insurance Data Scientist"/>
  </r>
  <r>
    <x v="3"/>
    <n v="80"/>
    <s v="Senior Data Science Systems Engineer"/>
  </r>
  <r>
    <x v="2"/>
    <n v="79.5"/>
    <s v="ENVIRONMENTAL ENGINEER/SCIENTIST"/>
  </r>
  <r>
    <x v="2"/>
    <n v="168"/>
    <s v="Senior Scientist - Regulatory Submissions"/>
  </r>
  <r>
    <x v="1"/>
    <n v="90"/>
    <s v="Scientist - Biomarker and Flow Cytometry"/>
  </r>
  <r>
    <x v="0"/>
    <n v="138.5"/>
    <s v="Associate Scientist, LC/MS Biologics"/>
  </r>
  <r>
    <x v="0"/>
    <n v="111.5"/>
    <s v="Revenue Analytics Manager"/>
  </r>
  <r>
    <x v="0"/>
    <n v="68.5"/>
    <s v="Sr. Scientist Method Development"/>
  </r>
  <r>
    <x v="0"/>
    <n v="84.5"/>
    <s v="Data Scientist"/>
  </r>
  <r>
    <x v="4"/>
    <n v="102.5"/>
    <s v="Data Scientist - Sales"/>
  </r>
  <r>
    <x v="3"/>
    <n v="73.5"/>
    <s v="IT - Data Engineer II"/>
  </r>
  <r>
    <x v="0"/>
    <n v="93.5"/>
    <s v="Research Scientist, Immunology - Cancer Biology"/>
  </r>
  <r>
    <x v="1"/>
    <n v="127.5"/>
    <s v="Senior Data Analyst"/>
  </r>
  <r>
    <x v="4"/>
    <n v="72"/>
    <s v="Principal, Data Science - Advanced Analytics"/>
  </r>
  <r>
    <x v="0"/>
    <n v="129.5"/>
    <s v="Data Science Project Manager"/>
  </r>
  <r>
    <x v="1"/>
    <n v="47"/>
    <s v="Sr Scientist, Immuno-Oncology - Oncology"/>
  </r>
  <r>
    <x v="0"/>
    <n v="65"/>
    <s v="Senior Data Engineer"/>
  </r>
  <r>
    <x v="0"/>
    <n v="60"/>
    <s v="Project Scientist - Auton Lab, Robotics Institute"/>
  </r>
  <r>
    <x v="4"/>
    <n v="167.5"/>
    <s v="Research Scientist â€“ Security and Privacy"/>
  </r>
  <r>
    <x v="0"/>
    <n v="65"/>
    <s v="Data Science Manager"/>
  </r>
  <r>
    <x v="4"/>
    <n v="94"/>
    <s v="Data Analyst 2 (Missionary Department)"/>
  </r>
  <r>
    <x v="3"/>
    <n v="87.5"/>
    <s v="Enterprise Architect, Data"/>
  </r>
  <r>
    <x v="4"/>
    <n v="97"/>
    <s v="Supply Chain Data Analyst"/>
  </r>
  <r>
    <x v="4"/>
    <n v="112.5"/>
    <s v="Data Engineer - ETL"/>
  </r>
  <r>
    <x v="0"/>
    <n v="91.5"/>
    <s v="Corporate Risk Data Analyst (SQL Based) - Milwaukee or"/>
  </r>
  <r>
    <x v="1"/>
    <n v="51.5"/>
    <s v="Senior Manager, Epidemiologic Data Scientist"/>
  </r>
  <r>
    <x v="0"/>
    <n v="114.5"/>
    <s v="Marketing Data Analyst, May 2020 Undergrad"/>
  </r>
  <r>
    <x v="4"/>
    <n v="115"/>
    <s v="Senior Data Analyst"/>
  </r>
  <r>
    <x v="1"/>
    <n v="74"/>
    <s v="Senior Data Analyst"/>
  </r>
  <r>
    <x v="2"/>
    <n v="51"/>
    <s v="Senior Data Engineer"/>
  </r>
  <r>
    <x v="1"/>
    <n v="100"/>
    <s v="Senior Data Engineer"/>
  </r>
  <r>
    <x v="0"/>
    <n v="121"/>
    <s v="Data Modeler (Analytical Systems)"/>
  </r>
  <r>
    <x v="2"/>
    <n v="121.5"/>
    <s v="Data Modeler - Data Solutions Engineer"/>
  </r>
  <r>
    <x v="1"/>
    <n v="62.5"/>
    <s v="Data Scientist in Translational Medicine"/>
  </r>
  <r>
    <x v="0"/>
    <n v="122"/>
    <s v="Data Scientist"/>
  </r>
  <r>
    <x v="4"/>
    <n v="85"/>
    <s v="Product Manager/Data Evangelist"/>
  </r>
  <r>
    <x v="1"/>
    <n v="60.5"/>
    <s v="Associate Environmental Scientist - Wildlife Biologist"/>
  </r>
  <r>
    <x v="0"/>
    <n v="180"/>
    <s v="Sr Data Engineer (Sr BI Developer)"/>
  </r>
  <r>
    <x v="2"/>
    <n v="70.5"/>
    <s v="Senior Data Scientist â€“ Visualization, Novartis AI Innovation Lab"/>
  </r>
  <r>
    <x v="1"/>
    <n v="118.5"/>
    <s v="Senior Data Analyst/Scientist"/>
  </r>
  <r>
    <x v="0"/>
    <n v="66.5"/>
    <s v="Associate, Data Science, Internal Audit"/>
  </r>
  <r>
    <x v="1"/>
    <n v="107.5"/>
    <s v="Scientist â€“ Cancer Discovery, Molecular Assay"/>
  </r>
  <r>
    <x v="2"/>
    <n v="138.5"/>
    <s v="Senior LiDAR Data Scientist"/>
  </r>
  <r>
    <x v="3"/>
    <n v="81"/>
    <s v="Data Engineer"/>
  </r>
  <r>
    <x v="0"/>
    <n v="58.5"/>
    <s v="Data Engineer"/>
  </r>
  <r>
    <x v="1"/>
    <n v="107.5"/>
    <s v="Lead Data Scientist"/>
  </r>
  <r>
    <x v="0"/>
    <n v="120.5"/>
    <s v="Technology-Minded, Data Professional Opportunities"/>
  </r>
  <r>
    <x v="0"/>
    <n v="63.5"/>
    <s v="Big Data Engineer"/>
  </r>
  <r>
    <x v="1"/>
    <n v="103.5"/>
    <s v="Salesforce Analytics Consultant"/>
  </r>
  <r>
    <x v="4"/>
    <n v="107"/>
    <s v="Managing Data Scientist/ML Engineer"/>
  </r>
  <r>
    <x v="0"/>
    <n v="105.5"/>
    <s v="Senior Data Engineer"/>
  </r>
  <r>
    <x v="3"/>
    <n v="83"/>
    <s v="Staff Scientist- Upstream PD"/>
  </r>
  <r>
    <x v="4"/>
    <n v="162"/>
    <s v="Data Engineering Analyst"/>
  </r>
  <r>
    <x v="0"/>
    <n v="68.5"/>
    <s v="Sr. Data Engineer"/>
  </r>
  <r>
    <x v="1"/>
    <n v="110.5"/>
    <s v="Scientist, Pharmacometrics"/>
  </r>
  <r>
    <x v="0"/>
    <n v="115.5"/>
    <s v="Manager of Data Science"/>
  </r>
  <r>
    <x v="1"/>
    <n v="87.5"/>
    <s v="Scientist Manufacturing Pharma - Kentucky BioProcessing"/>
  </r>
  <r>
    <x v="0"/>
    <n v="80.5"/>
    <s v="Software Engineer (Data Scientist/Software Engineer) - SISW - MG"/>
  </r>
  <r>
    <x v="2"/>
    <n v="43"/>
    <s v="Data Engineer"/>
  </r>
  <r>
    <x v="4"/>
    <n v="140"/>
    <s v="Data Engineer"/>
  </r>
  <r>
    <x v="4"/>
    <n v="172"/>
    <s v="Lead Big Data Engineer"/>
  </r>
  <r>
    <x v="1"/>
    <n v="66.5"/>
    <s v="Product Engineer â€“ Spatial Data Science and Statistical Analysis"/>
  </r>
  <r>
    <x v="1"/>
    <n v="100"/>
    <s v="Sr Software Engineer (Data Scientist)"/>
  </r>
  <r>
    <x v="2"/>
    <n v="94.5"/>
    <s v="Sr. Data Engineer (ETL Developer)"/>
  </r>
  <r>
    <x v="4"/>
    <n v="221.5"/>
    <s v="Associate Research Scientist I (Protein Expression and Production)"/>
  </r>
  <r>
    <x v="0"/>
    <n v="119"/>
    <s v="Senior Data Scientist Artificial Intelligence"/>
  </r>
  <r>
    <x v="0"/>
    <n v="95.5"/>
    <s v="Analytics - Business Assurance Data Analyst"/>
  </r>
  <r>
    <x v="1"/>
    <n v="194.5"/>
    <s v="Associate Director/Director, Safety Scientist"/>
  </r>
  <r>
    <x v="1"/>
    <n v="51.5"/>
    <s v="Director, Precision Medicine Clinical Biomarker Scientist"/>
  </r>
  <r>
    <x v="3"/>
    <n v="27.5"/>
    <s v="Senior Scientist, Cell Pharmacology/Assay Development"/>
  </r>
  <r>
    <x v="1"/>
    <n v="173"/>
    <s v="Data Analyst Senior"/>
  </r>
  <r>
    <x v="0"/>
    <n v="105.5"/>
    <s v="Senior Formulations Scientist II"/>
  </r>
  <r>
    <x v="0"/>
    <n v="71.5"/>
    <s v="Lead Data Engineer (Python)"/>
  </r>
  <r>
    <x v="1"/>
    <n v="74"/>
    <s v="Data Science Manager"/>
  </r>
  <r>
    <x v="0"/>
    <n v="62.5"/>
    <s v="Senior Data Scientist 4 Artificial Intelligence"/>
  </r>
  <r>
    <x v="4"/>
    <n v="65.5"/>
    <s v="Data Engineer"/>
  </r>
  <r>
    <x v="0"/>
    <n v="85"/>
    <s v="Director II, Data Science - GRS Predictive Analytics"/>
  </r>
  <r>
    <x v="0"/>
    <n v="147.5"/>
    <s v="Medical Lab Scientist - MLT"/>
  </r>
  <r>
    <x v="0"/>
    <n v="161.5"/>
    <s v="Senior Operations Data Analyst, Call Center Operations"/>
  </r>
  <r>
    <x v="0"/>
    <n v="81"/>
    <s v="Senior Quantitative Analyst"/>
  </r>
  <r>
    <x v="3"/>
    <n v="72.5"/>
    <s v="Geospatial Software Developer and Data Scientist"/>
  </r>
  <r>
    <x v="0"/>
    <n v="139"/>
    <s v="RESEARCH COMPUTER SCIENTIST - RESEARCH ENGINEER - SR. COMPUTER SCIENTIST - SOFTWARE DEVELOPMENT"/>
  </r>
  <r>
    <x v="0"/>
    <n v="136.5"/>
    <s v="Senior Scientist - Toxicologist - Product Integrity (Stewardship)"/>
  </r>
  <r>
    <x v="1"/>
    <n v="83"/>
    <s v="Systems Engineer II - Data Analyst"/>
  </r>
  <r>
    <x v="2"/>
    <n v="121"/>
    <s v="Senior Research Analytical Scientist-Non-Targeted Analysis"/>
  </r>
  <r>
    <x v="0"/>
    <n v="74.5"/>
    <s v="Data Scientist"/>
  </r>
  <r>
    <x v="3"/>
    <n v="85.5"/>
    <s v="Principal Data Scientist"/>
  </r>
  <r>
    <x v="1"/>
    <n v="80.5"/>
    <s v="Director Data Science"/>
  </r>
  <r>
    <x v="2"/>
    <n v="167.5"/>
    <s v="Data Engineer"/>
  </r>
  <r>
    <x v="3"/>
    <n v="107.5"/>
    <s v="Sr Data Analyst - IT"/>
  </r>
  <r>
    <x v="1"/>
    <n v="44.5"/>
    <s v="Senior Data Engineer"/>
  </r>
  <r>
    <x v="1"/>
    <n v="107.5"/>
    <s v="Senior Data Engineer"/>
  </r>
  <r>
    <x v="0"/>
    <n v="69.5"/>
    <s v="Sr. Data Analyst"/>
  </r>
  <r>
    <x v="0"/>
    <n v="98.5"/>
    <s v="Research Scientist or Senior Research Scientist - Computer Vision"/>
  </r>
  <r>
    <x v="3"/>
    <n v="80.5"/>
    <s v="Associate Machine Learning Engineer / Data Scientist May 2020 Undergrad"/>
  </r>
  <r>
    <x v="0"/>
    <n v="76.5"/>
    <s v="Data Analyst Chemist - Quality System Contractor"/>
  </r>
  <r>
    <x v="0"/>
    <n v="99"/>
    <s v="Senior Scientist - Biostatistician"/>
  </r>
  <r>
    <x v="0"/>
    <n v="96.5"/>
    <s v="Research Scientist / Principal Research Scientist - Multiphysical Systems"/>
  </r>
  <r>
    <x v="1"/>
    <n v="53"/>
    <s v="Research Scientist, Machine Learning Department"/>
  </r>
  <r>
    <x v="3"/>
    <n v="103"/>
    <s v="Foundational Community Supports Data Analyst"/>
  </r>
  <r>
    <x v="0"/>
    <n v="139.5"/>
    <s v="Senior Health Data Analyst, Star Ratings"/>
  </r>
  <r>
    <x v="0"/>
    <n v="67"/>
    <s v="Principal Research Scientist/Team Lead, Medicinal Chemistry - Oncology"/>
  </r>
  <r>
    <x v="1"/>
    <n v="62.5"/>
    <s v="Sr. Data Analyst"/>
  </r>
  <r>
    <x v="0"/>
    <n v="92"/>
    <s v="Senior Engineer, Data Management Engineering"/>
  </r>
  <r>
    <x v="0"/>
    <n v="66"/>
    <s v="Quality Control Scientist III- Analytical Development"/>
  </r>
  <r>
    <x v="0"/>
    <n v="94.5"/>
    <s v="Clinical Scientist, Clinical Development"/>
  </r>
  <r>
    <x v="0"/>
    <n v="114"/>
    <s v="Software Engineer Staff Scientist: Human Language Technologies"/>
  </r>
  <r>
    <x v="4"/>
    <n v="75.5"/>
    <s v="Manager, Safety Scientist, Medical Safety &amp; Risk Management"/>
  </r>
  <r>
    <x v="0"/>
    <n v="96"/>
    <s v="Assistant Director/Director, Office of Data Science"/>
  </r>
  <r>
    <x v="4"/>
    <n v="87"/>
    <s v="Sr. Data Engineer | Big Data SaaS Pipeline"/>
  </r>
  <r>
    <x v="0"/>
    <n v="86"/>
    <s v="Senior Risk Data Scientist"/>
  </r>
  <r>
    <x v="4"/>
    <n v="116.5"/>
    <s v="Data Scientist in Artificial Intelligence Early Career"/>
  </r>
  <r>
    <x v="0"/>
    <n v="154.5"/>
    <s v="Consultant - Analytics Consulting"/>
  </r>
  <r>
    <x v="0"/>
    <n v="48.5"/>
    <s v="Scientist - CVRM Metabolism - in vivo pharmacology"/>
  </r>
  <r>
    <x v="0"/>
    <n v="87"/>
    <s v="Data Analyst"/>
  </r>
  <r>
    <x v="1"/>
    <n v="80"/>
    <s v="Data Engineer"/>
  </r>
  <r>
    <x v="4"/>
    <n v="44.5"/>
    <s v="Data Scientist"/>
  </r>
  <r>
    <x v="0"/>
    <n v="173"/>
    <s v="Data Scientist"/>
  </r>
  <r>
    <x v="3"/>
    <n v="52.5"/>
    <s v="Data Scientist"/>
  </r>
  <r>
    <x v="0"/>
    <n v="68.5"/>
    <s v="Machine Learning Engineer"/>
  </r>
  <r>
    <x v="0"/>
    <n v="95"/>
    <s v="Data Scientist"/>
  </r>
  <r>
    <x v="1"/>
    <n v="69.5"/>
    <s v="Senior Data Scientist"/>
  </r>
  <r>
    <x v="4"/>
    <n v="107"/>
    <s v="Senior Scientist (Neuroscience)"/>
  </r>
  <r>
    <x v="0"/>
    <n v="112"/>
    <s v="Marketing Data Analyst"/>
  </r>
  <r>
    <x v="1"/>
    <n v="96.5"/>
    <s v="Machine Learning Engineer - Regulatory"/>
  </r>
  <r>
    <x v="3"/>
    <n v="111.5"/>
    <s v="Data Engineer"/>
  </r>
  <r>
    <x v="0"/>
    <n v="154.5"/>
    <s v="Medical Laboratory Scientist"/>
  </r>
  <r>
    <x v="1"/>
    <n v="95"/>
    <s v="Principal Data Scientist"/>
  </r>
  <r>
    <x v="4"/>
    <n v="97.5"/>
    <s v="R&amp;D Specialist/ Food Scientist"/>
  </r>
  <r>
    <x v="4"/>
    <n v="128.5"/>
    <s v="Data Engineer"/>
  </r>
  <r>
    <x v="3"/>
    <n v="124"/>
    <s v="Associate Principal Scientist, Pharmacogenomics"/>
  </r>
  <r>
    <x v="1"/>
    <n v="194"/>
    <s v="Data Scientist - Systems Engineering"/>
  </r>
  <r>
    <x v="0"/>
    <n v="65"/>
    <s v="Senior Data Scientist"/>
  </r>
  <r>
    <x v="4"/>
    <n v="50"/>
    <s v="Data Scientist SR"/>
  </r>
  <r>
    <x v="0"/>
    <n v="104.5"/>
    <s v="Data Scientist"/>
  </r>
  <r>
    <x v="4"/>
    <n v="69.5"/>
    <s v="Scientist, Bacteriology"/>
  </r>
  <r>
    <x v="3"/>
    <n v="121"/>
    <s v="Associate Director, Platform and DevOps- Data Engineering and Aritifical Intelligence"/>
  </r>
  <r>
    <x v="4"/>
    <n v="85.5"/>
    <s v="Data Scientist"/>
  </r>
  <r>
    <x v="1"/>
    <n v="113"/>
    <s v="Data Scientist"/>
  </r>
  <r>
    <x v="0"/>
    <n v="103"/>
    <s v="Senior Data Scientist"/>
  </r>
  <r>
    <x v="0"/>
    <n v="90.5"/>
    <s v="Senior Research Scientist-Machine Learning"/>
  </r>
  <r>
    <x v="4"/>
    <n v="153"/>
    <s v="Principal Data Scientist"/>
  </r>
  <r>
    <x v="1"/>
    <n v="106.5"/>
    <s v="Clinical Laboratory Scientist"/>
  </r>
  <r>
    <x v="2"/>
    <n v="130"/>
    <s v="Data Analyst 1, full-time contract worker for up to 12 months"/>
  </r>
  <r>
    <x v="1"/>
    <n v="123.5"/>
    <s v="Data Scientist"/>
  </r>
  <r>
    <x v="4"/>
    <n v="86.5"/>
    <s v="Data Scientist"/>
  </r>
  <r>
    <x v="0"/>
    <n v="64"/>
    <s v="Data Scientist"/>
  </r>
  <r>
    <x v="0"/>
    <n v="47"/>
    <s v="Data Engineer - Consultant (Charlotte Based)"/>
  </r>
  <r>
    <x v="4"/>
    <n v="162"/>
    <s v="Data Engineer"/>
  </r>
  <r>
    <x v="0"/>
    <n v="140"/>
    <s v="Data Scientist (Warehouse Automation)"/>
  </r>
  <r>
    <x v="1"/>
    <n v="89"/>
    <s v="Scientist, Immuno-Oncology"/>
  </r>
  <r>
    <x v="1"/>
    <n v="98"/>
    <s v="Senior Data Scientist"/>
  </r>
  <r>
    <x v="0"/>
    <n v="137"/>
    <s v="Jr. Data Scientist"/>
  </r>
  <r>
    <x v="4"/>
    <n v="99"/>
    <s v="Senior Data Scientist"/>
  </r>
  <r>
    <x v="1"/>
    <n v="54"/>
    <s v="Products Data Analyst II"/>
  </r>
  <r>
    <x v="1"/>
    <n v="109"/>
    <s v="Data Architect / Data Modeler"/>
  </r>
  <r>
    <x v="1"/>
    <n v="109"/>
    <s v="Analytics Manager - Data Mart"/>
  </r>
  <r>
    <x v="4"/>
    <n v="139.5"/>
    <s v="Lead Data Analyst"/>
  </r>
  <r>
    <x v="1"/>
    <n v="254"/>
    <s v="Data Science Engineer - Mobile"/>
  </r>
  <r>
    <x v="1"/>
    <n v="125"/>
    <s v="Senior Data Scientist Oncology"/>
  </r>
  <r>
    <x v="0"/>
    <n v="106.5"/>
    <s v="Data Scientist"/>
  </r>
  <r>
    <x v="0"/>
    <n v="56.5"/>
    <s v="Sr. Data Engineer - Contract-to-Hire (Java)"/>
  </r>
  <r>
    <x v="3"/>
    <n v="73"/>
    <s v="Senior Data Scientist - R&amp;D Oncology"/>
  </r>
  <r>
    <x v="3"/>
    <n v="81"/>
    <s v="Data Engineer"/>
  </r>
  <r>
    <x v="1"/>
    <n v="128.5"/>
    <s v="Food Scientist - Developer"/>
  </r>
  <r>
    <x v="1"/>
    <n v="99.5"/>
    <s v="Senior Data Engineer"/>
  </r>
  <r>
    <x v="4"/>
    <n v="92"/>
    <s v="Data Engineer"/>
  </r>
  <r>
    <x v="1"/>
    <n v="45.5"/>
    <s v="Senior Data Scientist"/>
  </r>
  <r>
    <x v="2"/>
    <n v="122.5"/>
    <s v="Director II, Data Science - GRM Actuarial"/>
  </r>
  <r>
    <x v="1"/>
    <n v="37.5"/>
    <s v="Machine Learning Engineer"/>
  </r>
  <r>
    <x v="0"/>
    <n v="54"/>
    <s v="Sr Expert Data Science, Advanced Visual Analytics (Associate level)"/>
  </r>
  <r>
    <x v="0"/>
    <n v="53.5"/>
    <s v="MED TECH/LAB SCIENTIST- SOUTH COASTAL LAB"/>
  </r>
  <r>
    <x v="0"/>
    <n v="140"/>
    <s v="Scientist, Molecular/Cellular Biologist"/>
  </r>
  <r>
    <x v="1"/>
    <n v="77.5"/>
    <s v="Staff Scientist-Downstream Process Development"/>
  </r>
  <r>
    <x v="1"/>
    <n v="55"/>
    <s v="Data Scientist"/>
  </r>
  <r>
    <x v="1"/>
    <n v="117.5"/>
    <s v="Scientist - Analytical Services"/>
  </r>
  <r>
    <x v="3"/>
    <n v="70.5"/>
    <s v="Associate Scientist / Sr. Associate Scientist, Antibody Discovery"/>
  </r>
  <r>
    <x v="2"/>
    <n v="61.5"/>
    <s v="Associate Data Analyst- Graduate Development Program"/>
  </r>
  <r>
    <x v="3"/>
    <n v="80"/>
    <s v="Sr. Data Engineer"/>
  </r>
  <r>
    <x v="3"/>
    <n v="70"/>
    <s v="Clinical Data Analyst"/>
  </r>
  <r>
    <x v="1"/>
    <n v="90"/>
    <s v="IT Associate Data Analyst"/>
  </r>
  <r>
    <x v="4"/>
    <n v="111"/>
    <s v="Business Data Analyst"/>
  </r>
  <r>
    <x v="0"/>
    <n v="138.5"/>
    <s v="Senior Insurance Data Scientist"/>
  </r>
  <r>
    <x v="0"/>
    <n v="68.5"/>
    <s v="Senior Data Science Systems Engineer"/>
  </r>
  <r>
    <x v="0"/>
    <n v="87.5"/>
    <s v="ENVIRONMENTAL ENGINEER/SCIENTIST"/>
  </r>
  <r>
    <x v="0"/>
    <n v="111.5"/>
    <s v="Senior Scientist - Regulatory Submissions"/>
  </r>
  <r>
    <x v="0"/>
    <n v="84.5"/>
    <s v="Scientist - Biomarker and Flow Cytometry"/>
  </r>
  <r>
    <x v="4"/>
    <n v="102.5"/>
    <s v="Revenue Analytics Manager"/>
  </r>
  <r>
    <x v="3"/>
    <n v="73.5"/>
    <s v="Sr. Scientist Method Development"/>
  </r>
  <r>
    <x v="1"/>
    <n v="127.5"/>
    <s v="Associate Scientist, LC/MS Biologics"/>
  </r>
  <r>
    <x v="0"/>
    <n v="93.5"/>
    <s v="Research Scientist, Immunology - Cancer Biolog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6" cacheId="1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I11" firstHeaderRow="1" firstDataRow="2" firstDataCol="1" rowPageCount="1" colPageCount="1"/>
  <pivotFields count="13">
    <pivotField dataField="1" showAll="0"/>
    <pivotField axis="axisPage" multipleItemSelectionAllowed="1" showAll="0">
      <items count="5">
        <item x="2"/>
        <item h="1" x="3"/>
        <item h="1" x="0"/>
        <item x="1"/>
        <item t="default"/>
      </items>
    </pivotField>
    <pivotField axis="axisCol" showAll="0">
      <items count="8">
        <item x="2"/>
        <item x="3"/>
        <item x="0"/>
        <item x="5"/>
        <item x="6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0"/>
        <item x="1"/>
        <item x="5"/>
        <item x="4"/>
        <item t="default"/>
      </items>
    </pivotField>
    <pivotField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hier="-1"/>
  </pageFields>
  <dataFields count="1">
    <dataField name="Count of Job Title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I12:K29" firstHeaderRow="1" firstDataRow="1" firstDataCol="0"/>
  <pivotFields count="2">
    <pivotField showAll="0"/>
    <pivotField showAll="0"/>
  </pivot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11" cacheId="1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12" firstHeaderRow="1" firstDataRow="1" firstDataCol="1"/>
  <pivotFields count="13">
    <pivotField showAll="0"/>
    <pivotField showAll="0"/>
    <pivotField showAll="0"/>
    <pivotField dataField="1" showAll="0"/>
    <pivotField showAll="0"/>
    <pivotField showAll="0"/>
    <pivotField axis="axisRow" showAll="0" sortType="descending">
      <items count="9">
        <item x="1"/>
        <item x="2"/>
        <item x="4"/>
        <item x="5"/>
        <item x="0"/>
        <item x="3"/>
        <item x="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6"/>
  </rowFields>
  <rowItems count="9">
    <i>
      <x v="5"/>
    </i>
    <i>
      <x v="7"/>
    </i>
    <i>
      <x v="2"/>
    </i>
    <i>
      <x/>
    </i>
    <i>
      <x v="1"/>
    </i>
    <i>
      <x v="4"/>
    </i>
    <i>
      <x v="3"/>
    </i>
    <i>
      <x v="6"/>
    </i>
    <i t="grand">
      <x/>
    </i>
  </rowItems>
  <colItems count="1">
    <i/>
  </colItems>
  <dataFields count="1">
    <dataField name="Average of Rating" fld="3" subtotal="average" baseField="0" baseItem="0" numFmtId="7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9" cacheId="1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E13" firstHeaderRow="1" firstDataRow="2" firstDataCol="1"/>
  <pivotFields count="13">
    <pivotField dataField="1" showAll="0"/>
    <pivotField showAll="0"/>
    <pivotField showAll="0"/>
    <pivotField showAll="0"/>
    <pivotField showAll="0"/>
    <pivotField showAll="0"/>
    <pivotField axis="axisRow" showAll="0" measureFilter="1" sortType="descending">
      <items count="9">
        <item x="1"/>
        <item x="2"/>
        <item x="4"/>
        <item x="5"/>
        <item x="0"/>
        <item x="3"/>
        <item x="7"/>
        <item x="6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showAll="0"/>
    <pivotField dataField="1" showAll="0"/>
    <pivotField dataField="1" showAll="0"/>
    <pivotField dataField="1" showAll="0"/>
    <pivotField showAll="0"/>
    <pivotField showAll="0"/>
  </pivotFields>
  <rowFields count="1">
    <field x="6"/>
  </rowFields>
  <rowItems count="9">
    <i>
      <x v="1"/>
    </i>
    <i>
      <x v="4"/>
    </i>
    <i>
      <x/>
    </i>
    <i>
      <x v="2"/>
    </i>
    <i>
      <x v="5"/>
    </i>
    <i>
      <x v="3"/>
    </i>
    <i>
      <x v="7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Avg Salary(K)" fld="10" subtotal="average" baseField="0" baseItem="0" numFmtId="165"/>
    <dataField name="Average of Lower Salary(in K)" fld="8" subtotal="average" baseField="0" baseItem="0" numFmtId="165"/>
    <dataField name="Average of Upper Salary(in K )" fld="9" subtotal="average" baseField="0" baseItem="0" numFmtId="165"/>
    <dataField name="Count of Job Title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</pivotTableDefinition>
</file>

<file path=xl/pivotTables/pivotTable5.xml><?xml version="1.0" encoding="utf-8"?>
<pivotTableDefinition xmlns="http://schemas.openxmlformats.org/spreadsheetml/2006/main" name="PivotTable7" cacheId="1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4:C21" firstHeaderRow="1" firstDataRow="2" firstDataCol="1" rowPageCount="2" colPageCount="1"/>
  <pivotFields count="13">
    <pivotField dataField="1" showAll="0"/>
    <pivotField axis="axisPage" multipleItemSelectionAllowed="1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9">
        <item x="1"/>
        <item x="2"/>
        <item x="4"/>
        <item x="5"/>
        <item x="0"/>
        <item x="3"/>
        <item x="7"/>
        <item x="6"/>
        <item t="default"/>
      </items>
    </pivotField>
    <pivotField axis="axisRow" showAll="0" measureFilter="1" sortType="descending">
      <items count="61">
        <item x="21"/>
        <item x="55"/>
        <item x="4"/>
        <item x="0"/>
        <item x="36"/>
        <item x="50"/>
        <item x="6"/>
        <item x="59"/>
        <item x="12"/>
        <item x="37"/>
        <item x="40"/>
        <item x="20"/>
        <item x="54"/>
        <item x="7"/>
        <item x="58"/>
        <item x="22"/>
        <item x="11"/>
        <item x="32"/>
        <item x="3"/>
        <item x="14"/>
        <item x="34"/>
        <item x="31"/>
        <item x="30"/>
        <item x="25"/>
        <item x="44"/>
        <item x="43"/>
        <item x="45"/>
        <item x="56"/>
        <item x="1"/>
        <item x="57"/>
        <item x="23"/>
        <item x="16"/>
        <item x="15"/>
        <item x="8"/>
        <item x="41"/>
        <item x="19"/>
        <item x="51"/>
        <item x="42"/>
        <item x="17"/>
        <item x="24"/>
        <item x="29"/>
        <item x="13"/>
        <item x="9"/>
        <item x="5"/>
        <item x="39"/>
        <item x="10"/>
        <item x="2"/>
        <item x="49"/>
        <item x="26"/>
        <item x="27"/>
        <item x="53"/>
        <item x="52"/>
        <item x="18"/>
        <item x="33"/>
        <item x="46"/>
        <item x="38"/>
        <item x="48"/>
        <item x="35"/>
        <item x="47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</pivotFields>
  <rowFields count="1">
    <field x="7"/>
  </rowFields>
  <rowItems count="16">
    <i>
      <x v="42"/>
    </i>
    <i>
      <x v="41"/>
    </i>
    <i>
      <x v="22"/>
    </i>
    <i>
      <x v="29"/>
    </i>
    <i>
      <x v="52"/>
    </i>
    <i>
      <x v="9"/>
    </i>
    <i>
      <x v="5"/>
    </i>
    <i>
      <x v="33"/>
    </i>
    <i>
      <x v="34"/>
    </i>
    <i>
      <x v="57"/>
    </i>
    <i>
      <x v="19"/>
    </i>
    <i>
      <x v="11"/>
    </i>
    <i>
      <x/>
    </i>
    <i>
      <x v="1"/>
    </i>
    <i>
      <x v="8"/>
    </i>
    <i t="grand">
      <x/>
    </i>
  </rowItems>
  <colFields count="1">
    <field x="-2"/>
  </colFields>
  <colItems count="2">
    <i>
      <x/>
    </i>
    <i i="1">
      <x v="1"/>
    </i>
  </colItems>
  <pageFields count="2">
    <pageField fld="6" hier="-1"/>
    <pageField fld="1" hier="-1"/>
  </pageFields>
  <dataFields count="2">
    <dataField name="Average of Avg Salary(K)" fld="10" subtotal="average" baseField="0" baseItem="0" numFmtId="165"/>
    <dataField name="Count of Job Title" fld="0" subtotal="count" baseField="0" baseItem="0"/>
  </dataField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5" filterVal="15"/>
        </filterColumn>
      </autoFilter>
    </filter>
  </filters>
</pivotTableDefinition>
</file>

<file path=xl/pivotTables/pivotTable6.xml><?xml version="1.0" encoding="utf-8"?>
<pivotTableDefinition xmlns="http://schemas.openxmlformats.org/spreadsheetml/2006/main" name="PivotTable5" cacheId="1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4:B20" firstHeaderRow="1" firstDataRow="1" firstDataCol="1" rowPageCount="2" colPageCount="1"/>
  <pivotFields count="13">
    <pivotField showAll="0"/>
    <pivotField axis="axisPage" multipleItemSelectionAllowed="1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axis="axisRow" showAll="0" measureFilter="1" sortType="descending" countSubtotal="1">
      <items count="196">
        <item x="130"/>
        <item x="79"/>
        <item x="187"/>
        <item x="0"/>
        <item x="139"/>
        <item x="176"/>
        <item x="31"/>
        <item x="181"/>
        <item x="193"/>
        <item x="107"/>
        <item x="57"/>
        <item x="40"/>
        <item x="178"/>
        <item x="82"/>
        <item x="47"/>
        <item x="86"/>
        <item x="123"/>
        <item x="6"/>
        <item x="35"/>
        <item x="175"/>
        <item x="33"/>
        <item x="183"/>
        <item x="186"/>
        <item x="162"/>
        <item x="128"/>
        <item x="38"/>
        <item x="169"/>
        <item x="103"/>
        <item x="109"/>
        <item x="12"/>
        <item x="166"/>
        <item x="160"/>
        <item x="156"/>
        <item x="9"/>
        <item x="70"/>
        <item x="53"/>
        <item x="89"/>
        <item x="119"/>
        <item x="17"/>
        <item x="43"/>
        <item x="2"/>
        <item x="155"/>
        <item x="134"/>
        <item x="144"/>
        <item x="45"/>
        <item x="173"/>
        <item x="92"/>
        <item x="5"/>
        <item x="116"/>
        <item x="96"/>
        <item x="16"/>
        <item x="159"/>
        <item x="23"/>
        <item x="177"/>
        <item x="154"/>
        <item x="164"/>
        <item x="90"/>
        <item x="138"/>
        <item x="65"/>
        <item x="37"/>
        <item x="161"/>
        <item x="83"/>
        <item x="170"/>
        <item x="46"/>
        <item x="179"/>
        <item x="93"/>
        <item x="28"/>
        <item x="174"/>
        <item x="189"/>
        <item x="153"/>
        <item x="22"/>
        <item x="99"/>
        <item x="149"/>
        <item x="55"/>
        <item x="141"/>
        <item x="19"/>
        <item x="108"/>
        <item x="20"/>
        <item x="171"/>
        <item x="110"/>
        <item x="69"/>
        <item x="39"/>
        <item x="50"/>
        <item x="25"/>
        <item x="192"/>
        <item x="150"/>
        <item x="163"/>
        <item x="81"/>
        <item x="167"/>
        <item x="112"/>
        <item x="106"/>
        <item x="51"/>
        <item x="61"/>
        <item x="56"/>
        <item x="143"/>
        <item x="101"/>
        <item x="1"/>
        <item x="182"/>
        <item x="29"/>
        <item x="34"/>
        <item x="78"/>
        <item x="18"/>
        <item x="75"/>
        <item x="95"/>
        <item x="151"/>
        <item x="30"/>
        <item x="52"/>
        <item x="72"/>
        <item x="64"/>
        <item x="118"/>
        <item x="59"/>
        <item x="113"/>
        <item x="190"/>
        <item x="66"/>
        <item x="77"/>
        <item x="14"/>
        <item x="120"/>
        <item x="146"/>
        <item x="60"/>
        <item x="4"/>
        <item x="13"/>
        <item x="104"/>
        <item x="85"/>
        <item x="129"/>
        <item x="127"/>
        <item x="194"/>
        <item x="74"/>
        <item x="142"/>
        <item x="157"/>
        <item x="140"/>
        <item x="44"/>
        <item x="117"/>
        <item x="62"/>
        <item x="131"/>
        <item x="36"/>
        <item x="126"/>
        <item x="48"/>
        <item x="73"/>
        <item x="54"/>
        <item x="10"/>
        <item x="180"/>
        <item x="122"/>
        <item x="121"/>
        <item x="136"/>
        <item x="124"/>
        <item x="152"/>
        <item x="125"/>
        <item x="133"/>
        <item x="26"/>
        <item x="184"/>
        <item x="148"/>
        <item x="3"/>
        <item x="88"/>
        <item x="188"/>
        <item x="8"/>
        <item x="76"/>
        <item x="42"/>
        <item x="105"/>
        <item x="135"/>
        <item x="41"/>
        <item x="15"/>
        <item x="7"/>
        <item x="115"/>
        <item x="98"/>
        <item x="132"/>
        <item x="165"/>
        <item x="168"/>
        <item x="80"/>
        <item x="111"/>
        <item x="185"/>
        <item x="11"/>
        <item x="114"/>
        <item x="67"/>
        <item x="91"/>
        <item x="71"/>
        <item x="102"/>
        <item x="63"/>
        <item x="24"/>
        <item x="68"/>
        <item x="58"/>
        <item x="87"/>
        <item x="145"/>
        <item x="84"/>
        <item x="49"/>
        <item x="172"/>
        <item x="32"/>
        <item x="191"/>
        <item x="137"/>
        <item x="94"/>
        <item x="158"/>
        <item x="147"/>
        <item x="97"/>
        <item x="27"/>
        <item x="100"/>
        <item x="21"/>
        <item t="coun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outline="0" multipleItemSelectionAllowed="1" showAll="0">
      <items count="9">
        <item h="1" x="1"/>
        <item x="2"/>
        <item h="1" x="4"/>
        <item h="1" x="5"/>
        <item x="0"/>
        <item h="1" x="3"/>
        <item x="7"/>
        <item h="1" x="6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5"/>
  </rowFields>
  <rowItems count="16">
    <i>
      <x v="160"/>
    </i>
    <i>
      <x v="86"/>
    </i>
    <i>
      <x v="115"/>
    </i>
    <i>
      <x v="122"/>
    </i>
    <i>
      <x v="161"/>
    </i>
    <i>
      <x v="166"/>
    </i>
    <i>
      <x v="105"/>
    </i>
    <i>
      <x v="120"/>
    </i>
    <i>
      <x v="60"/>
    </i>
    <i>
      <x v="117"/>
    </i>
    <i>
      <x v="130"/>
    </i>
    <i>
      <x v="75"/>
    </i>
    <i>
      <x v="16"/>
    </i>
    <i>
      <x v="53"/>
    </i>
    <i>
      <x v="185"/>
    </i>
    <i t="grand">
      <x/>
    </i>
  </rowItems>
  <colItems count="1">
    <i/>
  </colItems>
  <pageFields count="2">
    <pageField fld="6" hier="-1"/>
    <pageField fld="1" hier="-1"/>
  </pageFields>
  <dataFields count="1">
    <dataField name="Average of Avg Salary(K)" fld="10" subtotal="average" baseField="0" baseItem="0" numFmtId="165"/>
  </dataField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5" filterVal="15"/>
        </filterColumn>
      </autoFilter>
    </filter>
  </filters>
</pivotTableDefinition>
</file>

<file path=xl/pivotTables/pivotTable7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K10:L27" firstHeaderRow="1" firstDataRow="1" firstDataCol="1"/>
  <pivotFields count="2">
    <pivotField axis="axisRow" showAll="0">
      <items count="17">
        <item x="4"/>
        <item x="2"/>
        <item x="3"/>
        <item x="15"/>
        <item x="11"/>
        <item x="13"/>
        <item x="0"/>
        <item x="6"/>
        <item x="12"/>
        <item x="7"/>
        <item x="14"/>
        <item x="1"/>
        <item x="5"/>
        <item x="9"/>
        <item x="8"/>
        <item x="10"/>
        <item t="default"/>
      </items>
    </pivotField>
    <pivotField dataField="1" showAll="0">
      <items count="12">
        <item x="9"/>
        <item x="8"/>
        <item x="7"/>
        <item x="6"/>
        <item x="5"/>
        <item x="4"/>
        <item x="3"/>
        <item x="2"/>
        <item x="1"/>
        <item x="0"/>
        <item x="10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Count of Job Title2" fld="1" subtotal="count" baseField="0" baseItem="0"/>
  </dataField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PivotTable1" cacheId="1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B19" firstHeaderRow="1" firstDataRow="1" firstDataCol="1" rowPageCount="1" colPageCount="1"/>
  <pivotFields count="13">
    <pivotField dataField="1" showAll="0"/>
    <pivotField showAll="0"/>
    <pivotField showAll="0"/>
    <pivotField showAll="0"/>
    <pivotField showAll="0"/>
    <pivotField axis="axisRow" showAll="0" measureFilter="1" sortType="descending">
      <items count="196">
        <item x="130"/>
        <item x="79"/>
        <item x="187"/>
        <item x="0"/>
        <item x="139"/>
        <item x="176"/>
        <item x="31"/>
        <item x="181"/>
        <item x="193"/>
        <item x="107"/>
        <item x="57"/>
        <item x="40"/>
        <item x="178"/>
        <item x="82"/>
        <item x="47"/>
        <item x="86"/>
        <item x="123"/>
        <item x="6"/>
        <item x="35"/>
        <item x="175"/>
        <item x="33"/>
        <item x="183"/>
        <item x="186"/>
        <item x="162"/>
        <item x="128"/>
        <item x="38"/>
        <item x="169"/>
        <item x="103"/>
        <item x="109"/>
        <item x="12"/>
        <item x="166"/>
        <item x="160"/>
        <item x="156"/>
        <item x="9"/>
        <item x="70"/>
        <item x="53"/>
        <item x="89"/>
        <item x="119"/>
        <item x="17"/>
        <item x="43"/>
        <item x="2"/>
        <item x="155"/>
        <item x="134"/>
        <item x="144"/>
        <item x="45"/>
        <item x="173"/>
        <item x="92"/>
        <item x="5"/>
        <item x="116"/>
        <item x="96"/>
        <item x="16"/>
        <item x="159"/>
        <item x="23"/>
        <item x="177"/>
        <item x="154"/>
        <item x="164"/>
        <item x="90"/>
        <item x="138"/>
        <item x="65"/>
        <item x="37"/>
        <item x="161"/>
        <item x="83"/>
        <item x="170"/>
        <item x="46"/>
        <item x="179"/>
        <item x="93"/>
        <item x="28"/>
        <item x="174"/>
        <item x="189"/>
        <item x="153"/>
        <item x="22"/>
        <item x="99"/>
        <item x="149"/>
        <item x="55"/>
        <item x="141"/>
        <item x="19"/>
        <item x="108"/>
        <item x="20"/>
        <item x="171"/>
        <item x="110"/>
        <item x="69"/>
        <item x="39"/>
        <item x="50"/>
        <item x="25"/>
        <item x="192"/>
        <item x="150"/>
        <item x="163"/>
        <item x="81"/>
        <item x="167"/>
        <item x="112"/>
        <item x="106"/>
        <item x="51"/>
        <item x="61"/>
        <item x="56"/>
        <item x="143"/>
        <item x="101"/>
        <item x="1"/>
        <item x="182"/>
        <item x="29"/>
        <item x="34"/>
        <item x="78"/>
        <item x="18"/>
        <item x="75"/>
        <item x="95"/>
        <item x="151"/>
        <item x="30"/>
        <item x="52"/>
        <item x="72"/>
        <item x="64"/>
        <item x="118"/>
        <item x="59"/>
        <item x="113"/>
        <item x="190"/>
        <item x="66"/>
        <item x="77"/>
        <item x="14"/>
        <item x="120"/>
        <item x="146"/>
        <item x="60"/>
        <item x="4"/>
        <item x="13"/>
        <item x="104"/>
        <item x="85"/>
        <item x="129"/>
        <item x="127"/>
        <item x="194"/>
        <item x="74"/>
        <item x="142"/>
        <item x="157"/>
        <item x="140"/>
        <item x="44"/>
        <item x="117"/>
        <item x="62"/>
        <item x="131"/>
        <item x="36"/>
        <item x="126"/>
        <item x="48"/>
        <item x="73"/>
        <item x="54"/>
        <item x="10"/>
        <item x="180"/>
        <item x="122"/>
        <item x="121"/>
        <item x="136"/>
        <item x="124"/>
        <item x="152"/>
        <item x="125"/>
        <item x="133"/>
        <item x="26"/>
        <item x="184"/>
        <item x="148"/>
        <item x="3"/>
        <item x="88"/>
        <item x="188"/>
        <item x="8"/>
        <item x="76"/>
        <item x="42"/>
        <item x="105"/>
        <item x="135"/>
        <item x="41"/>
        <item x="15"/>
        <item x="7"/>
        <item x="115"/>
        <item x="98"/>
        <item x="132"/>
        <item x="165"/>
        <item x="168"/>
        <item x="80"/>
        <item x="111"/>
        <item x="185"/>
        <item x="11"/>
        <item x="114"/>
        <item x="67"/>
        <item x="91"/>
        <item x="71"/>
        <item x="102"/>
        <item x="63"/>
        <item x="24"/>
        <item x="68"/>
        <item x="58"/>
        <item x="87"/>
        <item x="145"/>
        <item x="84"/>
        <item x="49"/>
        <item x="172"/>
        <item x="32"/>
        <item x="191"/>
        <item x="137"/>
        <item x="94"/>
        <item x="158"/>
        <item x="147"/>
        <item x="97"/>
        <item x="27"/>
        <item x="100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showAll="0">
      <items count="61">
        <item x="21"/>
        <item x="55"/>
        <item x="4"/>
        <item x="0"/>
        <item x="36"/>
        <item x="50"/>
        <item x="6"/>
        <item x="59"/>
        <item x="12"/>
        <item x="37"/>
        <item x="40"/>
        <item x="20"/>
        <item x="54"/>
        <item x="7"/>
        <item x="58"/>
        <item x="22"/>
        <item x="11"/>
        <item x="32"/>
        <item x="3"/>
        <item x="14"/>
        <item x="34"/>
        <item x="31"/>
        <item x="30"/>
        <item x="25"/>
        <item x="44"/>
        <item x="43"/>
        <item x="45"/>
        <item x="56"/>
        <item x="1"/>
        <item x="57"/>
        <item x="23"/>
        <item x="16"/>
        <item x="15"/>
        <item x="8"/>
        <item x="41"/>
        <item x="19"/>
        <item x="51"/>
        <item x="42"/>
        <item x="17"/>
        <item x="24"/>
        <item x="29"/>
        <item x="13"/>
        <item x="9"/>
        <item x="5"/>
        <item x="39"/>
        <item x="10"/>
        <item x="2"/>
        <item x="49"/>
        <item x="26"/>
        <item x="27"/>
        <item x="53"/>
        <item x="52"/>
        <item x="18"/>
        <item x="33"/>
        <item x="46"/>
        <item x="38"/>
        <item x="48"/>
        <item x="35"/>
        <item x="47"/>
        <item x="28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16">
    <i>
      <x v="119"/>
    </i>
    <i>
      <x v="160"/>
    </i>
    <i>
      <x v="29"/>
    </i>
    <i>
      <x v="38"/>
    </i>
    <i>
      <x v="25"/>
    </i>
    <i>
      <x v="161"/>
    </i>
    <i>
      <x v="138"/>
    </i>
    <i>
      <x v="155"/>
    </i>
    <i>
      <x v="185"/>
    </i>
    <i>
      <x v="175"/>
    </i>
    <i>
      <x v="190"/>
    </i>
    <i>
      <x v="75"/>
    </i>
    <i>
      <x v="151"/>
    </i>
    <i>
      <x v="82"/>
    </i>
    <i>
      <x v="159"/>
    </i>
    <i t="grand">
      <x/>
    </i>
  </rowItems>
  <colItems count="1">
    <i/>
  </colItems>
  <pageFields count="1">
    <pageField fld="7" hier="-1"/>
  </pageFields>
  <dataFields count="1">
    <dataField name="Count of Job Title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9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6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9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5" filterVal="15"/>
        </filterColumn>
      </autoFilter>
    </filter>
  </filters>
</pivotTableDefinition>
</file>

<file path=xl/pivotTables/pivotTable9.xml><?xml version="1.0" encoding="utf-8"?>
<pivotTableDefinition xmlns="http://schemas.openxmlformats.org/spreadsheetml/2006/main" name="PivotTable1" cacheId="1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11" firstHeaderRow="1" firstDataRow="1" firstDataCol="1" rowPageCount="1" colPageCount="1"/>
  <pivotFields count="13">
    <pivotField dataField="1" showAll="0"/>
    <pivotField axis="axisPage" multipleItemSelectionAllowed="1" showAll="0" includeNewItemsInFilter="1" countASubtotal="1">
      <items count="5">
        <item x="2"/>
        <item x="3"/>
        <item x="0"/>
        <item x="1"/>
        <item t="countA"/>
      </items>
    </pivotField>
    <pivotField axis="axisRow" showAll="0" sortType="descending">
      <items count="8">
        <item x="2"/>
        <item x="3"/>
        <item x="0"/>
        <item x="5"/>
        <item x="6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 v="2"/>
    </i>
    <i>
      <x v="1"/>
    </i>
    <i>
      <x/>
    </i>
    <i>
      <x v="5"/>
    </i>
    <i>
      <x v="4"/>
    </i>
    <i>
      <x v="6"/>
    </i>
    <i>
      <x v="3"/>
    </i>
    <i t="grand">
      <x/>
    </i>
  </rowItems>
  <colItems count="1">
    <i/>
  </colItems>
  <pageFields count="1">
    <pageField fld="1" hier="-1"/>
  </pageFields>
  <dataFields count="1">
    <dataField name="Count of Job Title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10.xml><?xml version="1.0" encoding="utf-8"?>
<pivotTableDefinition xmlns="http://schemas.openxmlformats.org/spreadsheetml/2006/main" name="PivotTable2" cacheId="1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D11" firstHeaderRow="1" firstDataRow="2" firstDataCol="1" rowPageCount="1" colPageCount="1"/>
  <pivotFields count="13">
    <pivotField showAll="0"/>
    <pivotField axis="axisPage" multipleItemSelectionAllowed="1" showAll="0">
      <items count="5">
        <item h="1" x="2"/>
        <item h="1" x="3"/>
        <item x="0"/>
        <item x="1"/>
        <item t="default"/>
      </items>
    </pivotField>
    <pivotField axis="axisRow" showAll="0">
      <items count="8">
        <item x="2"/>
        <item x="3"/>
        <item x="0"/>
        <item x="5"/>
        <item x="6"/>
        <item x="4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hier="-1"/>
  </pageFields>
  <dataFields count="3">
    <dataField name="Average of Upper Salary(in K )" fld="9" subtotal="average" baseField="0" baseItem="0" numFmtId="164"/>
    <dataField name="Average of Lower Salary(in K)" fld="8" subtotal="average" baseField="0" baseItem="0" numFmtId="164"/>
    <dataField name="Average of Avg Salary(K)" fld="10" subtotal="average" baseField="0" baseItem="0" numFmtId="164"/>
  </dataFields>
  <pivotTableStyleInfo name="PivotStyleLight16" showRowHeaders="1" showColHeaders="1" showRowStripes="0" showColStripes="0" showLastColumn="1"/>
</pivotTableDefinition>
</file>

<file path=xl/pivotTables/pivotTable11.xml><?xml version="1.0" encoding="utf-8"?>
<pivotTableDefinition xmlns="http://schemas.openxmlformats.org/spreadsheetml/2006/main" name="PivotTable4" cacheId="1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D1:F8" firstHeaderRow="1" firstDataRow="2" firstDataCol="1"/>
  <pivotFields count="3">
    <pivotField axis="axisRow" showAll="0">
      <items count="6">
        <item x="3"/>
        <item x="1"/>
        <item x="0"/>
        <item x="4"/>
        <item x="2"/>
        <item t="default"/>
      </items>
    </pivotField>
    <pivotField dataField="1"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vg Salary(K)" fld="1" subtotal="average" baseField="0" baseItem="0" numFmtId="165"/>
    <dataField name="Count of Job Title" fld="2" subtotal="count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opLeftCell="C1" workbookViewId="0">
      <selection activeCell="C19" sqref="C19"/>
    </sheetView>
  </sheetViews>
  <sheetFormatPr defaultRowHeight="15"/>
  <cols>
    <col min="1" max="1" width="16.5703125" bestFit="1" customWidth="1"/>
    <col min="2" max="2" width="17.85546875" customWidth="1"/>
    <col min="3" max="3" width="13.42578125" bestFit="1" customWidth="1"/>
    <col min="4" max="4" width="13.140625" bestFit="1" customWidth="1"/>
    <col min="5" max="5" width="11.42578125" bestFit="1" customWidth="1"/>
    <col min="6" max="6" width="11.5703125" customWidth="1"/>
    <col min="7" max="7" width="12" customWidth="1"/>
    <col min="8" max="8" width="17.28515625" customWidth="1"/>
    <col min="9" max="9" width="11.28515625" bestFit="1" customWidth="1"/>
  </cols>
  <sheetData>
    <row r="1" spans="1:9">
      <c r="A1" s="3" t="s">
        <v>539</v>
      </c>
      <c r="B1" t="s">
        <v>550</v>
      </c>
    </row>
    <row r="3" spans="1:9">
      <c r="A3" s="3" t="s">
        <v>548</v>
      </c>
      <c r="B3" s="3" t="s">
        <v>589</v>
      </c>
    </row>
    <row r="4" spans="1:9">
      <c r="A4" s="3" t="s">
        <v>543</v>
      </c>
      <c r="B4" t="s">
        <v>43</v>
      </c>
      <c r="C4" t="s">
        <v>80</v>
      </c>
      <c r="D4" t="s">
        <v>7</v>
      </c>
      <c r="E4" t="s">
        <v>546</v>
      </c>
      <c r="F4" t="s">
        <v>545</v>
      </c>
      <c r="G4" t="s">
        <v>547</v>
      </c>
      <c r="H4" t="s">
        <v>31</v>
      </c>
      <c r="I4" t="s">
        <v>544</v>
      </c>
    </row>
    <row r="5" spans="1:9">
      <c r="A5" s="4" t="s">
        <v>590</v>
      </c>
      <c r="B5" s="2">
        <v>3</v>
      </c>
      <c r="C5" s="2">
        <v>17</v>
      </c>
      <c r="D5" s="2">
        <v>33</v>
      </c>
      <c r="E5" s="2"/>
      <c r="F5" s="2"/>
      <c r="G5" s="2">
        <v>4</v>
      </c>
      <c r="H5" s="2">
        <v>3</v>
      </c>
      <c r="I5" s="2">
        <v>60</v>
      </c>
    </row>
    <row r="6" spans="1:9">
      <c r="A6" s="4" t="s">
        <v>591</v>
      </c>
      <c r="B6" s="2">
        <v>2</v>
      </c>
      <c r="C6" s="2">
        <v>7</v>
      </c>
      <c r="D6" s="2">
        <v>46</v>
      </c>
      <c r="E6" s="2">
        <v>2</v>
      </c>
      <c r="F6" s="2"/>
      <c r="G6" s="2">
        <v>2</v>
      </c>
      <c r="H6" s="2">
        <v>1</v>
      </c>
      <c r="I6" s="2">
        <v>60</v>
      </c>
    </row>
    <row r="7" spans="1:9">
      <c r="A7" s="4" t="s">
        <v>592</v>
      </c>
      <c r="B7" s="2">
        <v>14</v>
      </c>
      <c r="C7" s="2">
        <v>2</v>
      </c>
      <c r="D7" s="2">
        <v>9</v>
      </c>
      <c r="E7" s="2"/>
      <c r="F7" s="2"/>
      <c r="G7" s="2">
        <v>2</v>
      </c>
      <c r="H7" s="2">
        <v>4</v>
      </c>
      <c r="I7" s="2">
        <v>31</v>
      </c>
    </row>
    <row r="8" spans="1:9">
      <c r="A8" s="4" t="s">
        <v>593</v>
      </c>
      <c r="B8" s="2">
        <v>7</v>
      </c>
      <c r="C8" s="2">
        <v>7</v>
      </c>
      <c r="D8" s="2">
        <v>28</v>
      </c>
      <c r="E8" s="2"/>
      <c r="F8" s="2"/>
      <c r="G8" s="2">
        <v>3</v>
      </c>
      <c r="H8" s="2">
        <v>1</v>
      </c>
      <c r="I8" s="2">
        <v>46</v>
      </c>
    </row>
    <row r="9" spans="1:9">
      <c r="A9" s="4" t="s">
        <v>594</v>
      </c>
      <c r="B9" s="2">
        <v>9</v>
      </c>
      <c r="C9" s="2"/>
      <c r="D9" s="2"/>
      <c r="E9" s="2"/>
      <c r="F9" s="2"/>
      <c r="G9" s="2"/>
      <c r="H9" s="2"/>
      <c r="I9" s="2">
        <v>9</v>
      </c>
    </row>
    <row r="10" spans="1:9">
      <c r="A10" s="4" t="s">
        <v>595</v>
      </c>
      <c r="B10" s="2"/>
      <c r="C10" s="2">
        <v>9</v>
      </c>
      <c r="D10" s="2">
        <v>31</v>
      </c>
      <c r="E10" s="2"/>
      <c r="F10" s="2">
        <v>2</v>
      </c>
      <c r="G10" s="2">
        <v>1</v>
      </c>
      <c r="H10" s="2">
        <v>1</v>
      </c>
      <c r="I10" s="2">
        <v>44</v>
      </c>
    </row>
    <row r="11" spans="1:9">
      <c r="A11" s="4" t="s">
        <v>544</v>
      </c>
      <c r="B11" s="2">
        <v>35</v>
      </c>
      <c r="C11" s="2">
        <v>42</v>
      </c>
      <c r="D11" s="2">
        <v>147</v>
      </c>
      <c r="E11" s="2">
        <v>2</v>
      </c>
      <c r="F11" s="2">
        <v>2</v>
      </c>
      <c r="G11" s="2">
        <v>12</v>
      </c>
      <c r="H11" s="2">
        <v>10</v>
      </c>
      <c r="I11" s="2">
        <v>250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43"/>
  <sheetViews>
    <sheetView workbookViewId="0">
      <selection activeCell="A23" sqref="A23"/>
    </sheetView>
  </sheetViews>
  <sheetFormatPr defaultRowHeight="15"/>
  <cols>
    <col min="1" max="2" width="39.7109375" customWidth="1"/>
    <col min="3" max="3" width="26.5703125" customWidth="1"/>
    <col min="5" max="6" width="23.7109375" customWidth="1"/>
    <col min="7" max="8" width="13.5703125" customWidth="1"/>
    <col min="9" max="9" width="20" customWidth="1"/>
    <col min="10" max="10" width="18.7109375" customWidth="1"/>
    <col min="11" max="11" width="21.5703125" customWidth="1"/>
  </cols>
  <sheetData>
    <row r="1" spans="1:13">
      <c r="A1" t="s">
        <v>0</v>
      </c>
      <c r="B1" t="s">
        <v>539</v>
      </c>
      <c r="C1" t="s">
        <v>537</v>
      </c>
      <c r="D1" t="s">
        <v>1</v>
      </c>
      <c r="E1" t="s">
        <v>2</v>
      </c>
      <c r="F1" t="s">
        <v>538</v>
      </c>
      <c r="G1" t="s">
        <v>3</v>
      </c>
      <c r="H1" t="s">
        <v>4</v>
      </c>
      <c r="I1" t="s">
        <v>541</v>
      </c>
      <c r="J1" t="s">
        <v>542</v>
      </c>
      <c r="K1" t="s">
        <v>5</v>
      </c>
      <c r="L1" t="s">
        <v>540</v>
      </c>
      <c r="M1" t="s">
        <v>6</v>
      </c>
    </row>
    <row r="2" spans="1:13">
      <c r="A2" t="s">
        <v>7</v>
      </c>
      <c r="B2" t="str">
        <f>IF(OR(ISNUMBER(SEARCH("Senior",A2)),ISNUMBER(SEARCH("Sr",A2)),ISNUMBER(SEARCH("Lead",A2)),ISNUMBER(SEARCH("Principal",A2))),"Senior",IF(OR(ISNUMBER(SEARCH("Junior",A2)),ISNUMBER(SEARCH("Jr",A2)),ISNUMBER(SEARCH("Entry",A2)),ISNUMBER(SEARCH("Associate",A2))),"Junior",IF(OR(ISNUMBER(SEARCH("Manager",A2)),ISNUMBER(SEARCH("Director",A2)),ISNUMBER(SEARCH("Head",A2)),ISNUMBER(SEARCH("VP",A2))),"Management","Mid-Level")))</f>
        <v>Mid-Level</v>
      </c>
      <c r="C2" t="str">
        <f>IF(ISNUMBER(SEARCH("Machine Learn",A2)),"ML Engineer",IF(ISNUMBER(SEARCH("Data Engineer",A2)),"Data Engineer",IF(ISNUMBER(SEARCH("Data Analyst",A2)),"Data Analyst",IF(ISNUMBER(SEARCH("Business Analyst",A2)),"Business Analyst",IF(ISNUMBER(SEARCH("Research",A2)),"Research Scientist",IF(ISNUMBER(SEARCH("Manager",A2)),"DS Manager",IF(ISNUMBER(SEARCH("Director",A2)),"Director/VP","Data Scientist")))))))</f>
        <v>Data Scientist</v>
      </c>
      <c r="D2">
        <v>3.8</v>
      </c>
      <c r="E2" t="s">
        <v>8</v>
      </c>
      <c r="F2" t="str">
        <f>IFERROR(LEFT(E2, FIND(",", E2)-1), E2)</f>
        <v>Albuquerque</v>
      </c>
      <c r="G2" t="s">
        <v>9</v>
      </c>
      <c r="H2" t="s">
        <v>10</v>
      </c>
      <c r="I2">
        <v>53</v>
      </c>
      <c r="J2">
        <v>91</v>
      </c>
      <c r="K2">
        <v>72</v>
      </c>
      <c r="L2" t="str">
        <f>IF(K2&lt;50,"&lt;$50K",IF(K2&lt;75,"$50–75K",IF(K2&lt;100,"$75–100K",IF(K2&lt;125,"$100–125K",IF(K2&lt;150,"$125–150K","&gt;$150K")))))</f>
        <v>$50–75K</v>
      </c>
      <c r="M2">
        <v>48</v>
      </c>
    </row>
    <row r="3" spans="1:13">
      <c r="A3" t="s">
        <v>11</v>
      </c>
      <c r="B3" t="str">
        <f t="shared" ref="B3:B66" si="0">IF(OR(ISNUMBER(SEARCH("Senior",A3)),ISNUMBER(SEARCH("Sr",A3)),ISNUMBER(SEARCH("Lead",A3)),ISNUMBER(SEARCH("Principal",A3))),"Senior",IF(OR(ISNUMBER(SEARCH("Junior",A3)),ISNUMBER(SEARCH("Jr",A3)),ISNUMBER(SEARCH("Entry",A3)),ISNUMBER(SEARCH("Associate",A3))),"Junior",IF(OR(ISNUMBER(SEARCH("Manager",A3)),ISNUMBER(SEARCH("Director",A3)),ISNUMBER(SEARCH("Head",A3)),ISNUMBER(SEARCH("VP",A3))),"Management","Mid-Level")))</f>
        <v>Mid-Level</v>
      </c>
      <c r="C3" t="str">
        <f t="shared" ref="C3:C66" si="1">IF(ISNUMBER(SEARCH("Machine Learn",A3)),"ML Engineer",IF(ISNUMBER(SEARCH("Data Engineer",A3)),"Data Engineer",IF(ISNUMBER(SEARCH("Data Analyst",A3)),"Data Analyst",IF(ISNUMBER(SEARCH("Business Analyst",A3)),"Business Analyst",IF(ISNUMBER(SEARCH("Research",A3)),"Research Scientist",IF(ISNUMBER(SEARCH("Manager",A3)),"DS Manager",IF(ISNUMBER(SEARCH("Director",A3)),"Director/VP","Data Scientist")))))))</f>
        <v>Data Scientist</v>
      </c>
      <c r="D3">
        <v>3.4</v>
      </c>
      <c r="E3" t="s">
        <v>12</v>
      </c>
      <c r="F3" t="str">
        <f t="shared" ref="F3:F66" si="2">IFERROR(LEFT(E3, FIND(",", E3)-1), E3)</f>
        <v>Linthicum</v>
      </c>
      <c r="G3" t="s">
        <v>14</v>
      </c>
      <c r="H3" t="s">
        <v>15</v>
      </c>
      <c r="I3">
        <v>63</v>
      </c>
      <c r="J3">
        <v>112</v>
      </c>
      <c r="K3">
        <v>87.5</v>
      </c>
      <c r="L3" t="str">
        <f t="shared" ref="L3:L66" si="3">IF(K3&lt;50,"&lt;$50K",IF(K3&lt;75,"$50–75K",IF(K3&lt;100,"$75–100K",IF(K3&lt;125,"$100–125K",IF(K3&lt;150,"$125–150K","&gt;$150K")))))</f>
        <v>$75–100K</v>
      </c>
      <c r="M3">
        <v>37</v>
      </c>
    </row>
    <row r="4" spans="1:13">
      <c r="A4" t="s">
        <v>7</v>
      </c>
      <c r="B4" t="str">
        <f t="shared" si="0"/>
        <v>Mid-Level</v>
      </c>
      <c r="C4" t="str">
        <f t="shared" si="1"/>
        <v>Data Scientist</v>
      </c>
      <c r="D4">
        <v>4.8</v>
      </c>
      <c r="E4" t="s">
        <v>16</v>
      </c>
      <c r="F4" t="str">
        <f t="shared" si="2"/>
        <v>Clearwater</v>
      </c>
      <c r="G4" t="s">
        <v>9</v>
      </c>
      <c r="H4" t="s">
        <v>17</v>
      </c>
      <c r="I4">
        <v>80</v>
      </c>
      <c r="J4">
        <v>90</v>
      </c>
      <c r="K4">
        <v>85</v>
      </c>
      <c r="L4" t="str">
        <f t="shared" si="3"/>
        <v>$75–100K</v>
      </c>
      <c r="M4">
        <v>11</v>
      </c>
    </row>
    <row r="5" spans="1:13">
      <c r="A5" t="s">
        <v>7</v>
      </c>
      <c r="B5" t="str">
        <f t="shared" si="0"/>
        <v>Mid-Level</v>
      </c>
      <c r="C5" t="str">
        <f t="shared" si="1"/>
        <v>Data Scientist</v>
      </c>
      <c r="D5">
        <v>3.8</v>
      </c>
      <c r="E5" t="s">
        <v>18</v>
      </c>
      <c r="F5" t="str">
        <f t="shared" si="2"/>
        <v>Richland</v>
      </c>
      <c r="G5" t="s">
        <v>19</v>
      </c>
      <c r="H5" t="s">
        <v>20</v>
      </c>
      <c r="I5">
        <v>56</v>
      </c>
      <c r="J5">
        <v>97</v>
      </c>
      <c r="K5">
        <v>76.5</v>
      </c>
      <c r="L5" t="str">
        <f t="shared" si="3"/>
        <v>$75–100K</v>
      </c>
      <c r="M5">
        <v>56</v>
      </c>
    </row>
    <row r="6" spans="1:13">
      <c r="A6" t="s">
        <v>7</v>
      </c>
      <c r="B6" t="str">
        <f t="shared" si="0"/>
        <v>Mid-Level</v>
      </c>
      <c r="C6" t="str">
        <f t="shared" si="1"/>
        <v>Data Scientist</v>
      </c>
      <c r="D6">
        <v>2.9</v>
      </c>
      <c r="E6" t="s">
        <v>21</v>
      </c>
      <c r="F6" t="str">
        <f t="shared" si="2"/>
        <v>New York</v>
      </c>
      <c r="G6" t="s">
        <v>22</v>
      </c>
      <c r="H6" t="s">
        <v>23</v>
      </c>
      <c r="I6">
        <v>86</v>
      </c>
      <c r="J6">
        <v>143</v>
      </c>
      <c r="K6">
        <v>114.5</v>
      </c>
      <c r="L6" t="str">
        <f t="shared" si="3"/>
        <v>$100–125K</v>
      </c>
      <c r="M6">
        <v>23</v>
      </c>
    </row>
    <row r="7" spans="1:13">
      <c r="A7" t="s">
        <v>7</v>
      </c>
      <c r="B7" t="str">
        <f t="shared" si="0"/>
        <v>Mid-Level</v>
      </c>
      <c r="C7" t="str">
        <f t="shared" si="1"/>
        <v>Data Scientist</v>
      </c>
      <c r="D7">
        <v>3.4</v>
      </c>
      <c r="E7" t="s">
        <v>24</v>
      </c>
      <c r="F7" t="str">
        <f t="shared" si="2"/>
        <v>Dallas</v>
      </c>
      <c r="G7" t="s">
        <v>25</v>
      </c>
      <c r="H7" t="s">
        <v>26</v>
      </c>
      <c r="I7">
        <v>71</v>
      </c>
      <c r="J7">
        <v>119</v>
      </c>
      <c r="K7">
        <v>95</v>
      </c>
      <c r="L7" t="str">
        <f t="shared" si="3"/>
        <v>$75–100K</v>
      </c>
      <c r="M7">
        <v>21</v>
      </c>
    </row>
    <row r="8" spans="1:13">
      <c r="A8" t="s">
        <v>7</v>
      </c>
      <c r="B8" t="str">
        <f t="shared" si="0"/>
        <v>Mid-Level</v>
      </c>
      <c r="C8" t="str">
        <f t="shared" si="1"/>
        <v>Data Scientist</v>
      </c>
      <c r="D8">
        <v>4.0999999999999996</v>
      </c>
      <c r="E8" t="s">
        <v>13</v>
      </c>
      <c r="F8" t="str">
        <f t="shared" si="2"/>
        <v>Baltimore</v>
      </c>
      <c r="G8" t="s">
        <v>9</v>
      </c>
      <c r="H8" t="s">
        <v>27</v>
      </c>
      <c r="I8">
        <v>54</v>
      </c>
      <c r="J8">
        <v>93</v>
      </c>
      <c r="K8">
        <v>73.5</v>
      </c>
      <c r="L8" t="str">
        <f t="shared" si="3"/>
        <v>$50–75K</v>
      </c>
      <c r="M8">
        <v>13</v>
      </c>
    </row>
    <row r="9" spans="1:13">
      <c r="A9" t="s">
        <v>7</v>
      </c>
      <c r="B9" t="str">
        <f t="shared" si="0"/>
        <v>Mid-Level</v>
      </c>
      <c r="C9" t="str">
        <f t="shared" si="1"/>
        <v>Data Scientist</v>
      </c>
      <c r="D9">
        <v>3.8</v>
      </c>
      <c r="E9" t="s">
        <v>28</v>
      </c>
      <c r="F9" t="str">
        <f t="shared" si="2"/>
        <v>San Jose</v>
      </c>
      <c r="G9" t="s">
        <v>25</v>
      </c>
      <c r="H9" t="s">
        <v>30</v>
      </c>
      <c r="I9">
        <v>86</v>
      </c>
      <c r="J9">
        <v>142</v>
      </c>
      <c r="K9">
        <v>114</v>
      </c>
      <c r="L9" t="str">
        <f t="shared" si="3"/>
        <v>$100–125K</v>
      </c>
      <c r="M9">
        <v>16</v>
      </c>
    </row>
    <row r="10" spans="1:13">
      <c r="A10" t="s">
        <v>31</v>
      </c>
      <c r="B10" t="str">
        <f t="shared" si="0"/>
        <v>Mid-Level</v>
      </c>
      <c r="C10" t="str">
        <f t="shared" si="1"/>
        <v>Research Scientist</v>
      </c>
      <c r="D10">
        <v>3.3</v>
      </c>
      <c r="E10" t="s">
        <v>32</v>
      </c>
      <c r="F10" t="str">
        <f t="shared" si="2"/>
        <v>Rochester</v>
      </c>
      <c r="G10" t="s">
        <v>14</v>
      </c>
      <c r="H10" t="s">
        <v>15</v>
      </c>
      <c r="I10">
        <v>38</v>
      </c>
      <c r="J10">
        <v>84</v>
      </c>
      <c r="K10">
        <v>61</v>
      </c>
      <c r="L10" t="str">
        <f t="shared" si="3"/>
        <v>$50–75K</v>
      </c>
      <c r="M10">
        <v>7</v>
      </c>
    </row>
    <row r="11" spans="1:13">
      <c r="A11" t="s">
        <v>7</v>
      </c>
      <c r="B11" t="str">
        <f t="shared" si="0"/>
        <v>Mid-Level</v>
      </c>
      <c r="C11" t="str">
        <f t="shared" si="1"/>
        <v>Data Scientist</v>
      </c>
      <c r="D11">
        <v>4.5999999999999996</v>
      </c>
      <c r="E11" t="s">
        <v>21</v>
      </c>
      <c r="F11" t="str">
        <f t="shared" si="2"/>
        <v>New York</v>
      </c>
      <c r="G11" t="s">
        <v>22</v>
      </c>
      <c r="H11" t="s">
        <v>33</v>
      </c>
      <c r="I11">
        <v>120</v>
      </c>
      <c r="J11">
        <v>160</v>
      </c>
      <c r="K11">
        <v>140</v>
      </c>
      <c r="L11" t="str">
        <f t="shared" si="3"/>
        <v>$125–150K</v>
      </c>
      <c r="M11">
        <v>12</v>
      </c>
    </row>
    <row r="12" spans="1:13">
      <c r="A12" t="s">
        <v>7</v>
      </c>
      <c r="B12" t="str">
        <f t="shared" si="0"/>
        <v>Mid-Level</v>
      </c>
      <c r="C12" t="str">
        <f t="shared" si="1"/>
        <v>Data Scientist</v>
      </c>
      <c r="D12">
        <v>3.5</v>
      </c>
      <c r="E12" t="s">
        <v>28</v>
      </c>
      <c r="F12" t="str">
        <f t="shared" si="2"/>
        <v>San Jose</v>
      </c>
      <c r="G12" t="s">
        <v>9</v>
      </c>
      <c r="H12" t="s">
        <v>35</v>
      </c>
      <c r="I12">
        <v>126</v>
      </c>
      <c r="J12">
        <v>201</v>
      </c>
      <c r="K12">
        <v>163.5</v>
      </c>
      <c r="L12" t="str">
        <f t="shared" si="3"/>
        <v>&gt;$150K</v>
      </c>
      <c r="M12">
        <v>10</v>
      </c>
    </row>
    <row r="13" spans="1:13">
      <c r="A13" t="s">
        <v>7</v>
      </c>
      <c r="B13" t="str">
        <f t="shared" si="0"/>
        <v>Mid-Level</v>
      </c>
      <c r="C13" t="str">
        <f t="shared" si="1"/>
        <v>Data Scientist</v>
      </c>
      <c r="D13">
        <v>4.0999999999999996</v>
      </c>
      <c r="E13" t="s">
        <v>36</v>
      </c>
      <c r="F13" t="str">
        <f t="shared" si="2"/>
        <v>Chantilly</v>
      </c>
      <c r="G13" t="s">
        <v>38</v>
      </c>
      <c r="H13" t="s">
        <v>39</v>
      </c>
      <c r="I13">
        <v>64</v>
      </c>
      <c r="J13">
        <v>106</v>
      </c>
      <c r="K13">
        <v>85</v>
      </c>
      <c r="L13" t="str">
        <f t="shared" si="3"/>
        <v>$75–100K</v>
      </c>
      <c r="M13">
        <v>53</v>
      </c>
    </row>
    <row r="14" spans="1:13">
      <c r="A14" t="s">
        <v>40</v>
      </c>
      <c r="B14" t="str">
        <f t="shared" si="0"/>
        <v>Mid-Level</v>
      </c>
      <c r="C14" t="str">
        <f t="shared" si="1"/>
        <v>Data Scientist</v>
      </c>
      <c r="D14">
        <v>3.2</v>
      </c>
      <c r="E14" t="s">
        <v>41</v>
      </c>
      <c r="F14" t="str">
        <f t="shared" si="2"/>
        <v>Plano</v>
      </c>
      <c r="G14" t="s">
        <v>14</v>
      </c>
      <c r="H14" t="s">
        <v>42</v>
      </c>
      <c r="I14">
        <v>106</v>
      </c>
      <c r="J14">
        <v>172</v>
      </c>
      <c r="K14">
        <v>139</v>
      </c>
      <c r="L14" t="str">
        <f t="shared" si="3"/>
        <v>$125–150K</v>
      </c>
      <c r="M14">
        <v>59</v>
      </c>
    </row>
    <row r="15" spans="1:13">
      <c r="A15" t="s">
        <v>43</v>
      </c>
      <c r="B15" t="str">
        <f t="shared" si="0"/>
        <v>Mid-Level</v>
      </c>
      <c r="C15" t="str">
        <f t="shared" si="1"/>
        <v>Data Analyst</v>
      </c>
      <c r="D15">
        <v>4.0999999999999996</v>
      </c>
      <c r="E15" t="s">
        <v>29</v>
      </c>
      <c r="F15" t="str">
        <f t="shared" si="2"/>
        <v>Seattle</v>
      </c>
      <c r="G15" t="s">
        <v>25</v>
      </c>
      <c r="H15" t="s">
        <v>23</v>
      </c>
      <c r="I15">
        <v>46</v>
      </c>
      <c r="J15">
        <v>85</v>
      </c>
      <c r="K15">
        <v>65.5</v>
      </c>
      <c r="L15" t="str">
        <f t="shared" si="3"/>
        <v>$50–75K</v>
      </c>
      <c r="M15">
        <v>9</v>
      </c>
    </row>
    <row r="16" spans="1:13">
      <c r="A16" t="s">
        <v>7</v>
      </c>
      <c r="B16" t="str">
        <f t="shared" si="0"/>
        <v>Mid-Level</v>
      </c>
      <c r="C16" t="str">
        <f t="shared" si="1"/>
        <v>Data Scientist</v>
      </c>
      <c r="D16">
        <v>3.7</v>
      </c>
      <c r="E16" t="s">
        <v>44</v>
      </c>
      <c r="F16" t="str">
        <f t="shared" si="2"/>
        <v>Cambridge</v>
      </c>
      <c r="G16" t="s">
        <v>14</v>
      </c>
      <c r="H16" t="s">
        <v>45</v>
      </c>
      <c r="I16">
        <v>83</v>
      </c>
      <c r="J16">
        <v>144</v>
      </c>
      <c r="K16">
        <v>113.5</v>
      </c>
      <c r="L16" t="str">
        <f t="shared" si="3"/>
        <v>$100–125K</v>
      </c>
      <c r="M16">
        <v>240</v>
      </c>
    </row>
    <row r="17" spans="1:13">
      <c r="A17" t="s">
        <v>46</v>
      </c>
      <c r="B17" t="str">
        <f t="shared" si="0"/>
        <v>Mid-Level</v>
      </c>
      <c r="C17" t="str">
        <f t="shared" si="1"/>
        <v>Data Engineer</v>
      </c>
      <c r="D17">
        <v>3.6</v>
      </c>
      <c r="E17" t="s">
        <v>47</v>
      </c>
      <c r="F17" t="str">
        <f t="shared" si="2"/>
        <v>Newark</v>
      </c>
      <c r="G17" t="s">
        <v>19</v>
      </c>
      <c r="H17" t="s">
        <v>48</v>
      </c>
      <c r="I17">
        <v>102</v>
      </c>
      <c r="J17">
        <v>190</v>
      </c>
      <c r="K17">
        <v>146</v>
      </c>
      <c r="L17" t="str">
        <f t="shared" si="3"/>
        <v>$125–150K</v>
      </c>
      <c r="M17">
        <v>26</v>
      </c>
    </row>
    <row r="18" spans="1:13">
      <c r="A18" t="s">
        <v>49</v>
      </c>
      <c r="B18" t="str">
        <f t="shared" si="0"/>
        <v>Mid-Level</v>
      </c>
      <c r="C18" t="str">
        <f t="shared" si="1"/>
        <v>Data Scientist</v>
      </c>
      <c r="D18">
        <v>3.9</v>
      </c>
      <c r="E18" t="s">
        <v>44</v>
      </c>
      <c r="F18" t="str">
        <f t="shared" si="2"/>
        <v>Cambridge</v>
      </c>
      <c r="G18" t="s">
        <v>22</v>
      </c>
      <c r="H18" t="s">
        <v>45</v>
      </c>
      <c r="I18">
        <v>67</v>
      </c>
      <c r="J18">
        <v>137</v>
      </c>
      <c r="K18">
        <v>102</v>
      </c>
      <c r="L18" t="str">
        <f t="shared" si="3"/>
        <v>$100–125K</v>
      </c>
      <c r="M18">
        <v>10</v>
      </c>
    </row>
    <row r="19" spans="1:13">
      <c r="A19" t="s">
        <v>50</v>
      </c>
      <c r="B19" t="str">
        <f t="shared" si="0"/>
        <v>Mid-Level</v>
      </c>
      <c r="C19" t="str">
        <f t="shared" si="1"/>
        <v>Data Scientist</v>
      </c>
      <c r="D19">
        <v>4.3</v>
      </c>
      <c r="E19" t="s">
        <v>51</v>
      </c>
      <c r="F19" t="str">
        <f t="shared" si="2"/>
        <v>Mountain View</v>
      </c>
      <c r="G19" t="s">
        <v>25</v>
      </c>
      <c r="H19" t="s">
        <v>52</v>
      </c>
      <c r="I19">
        <v>118</v>
      </c>
      <c r="J19">
        <v>189</v>
      </c>
      <c r="K19">
        <v>153.5</v>
      </c>
      <c r="L19" t="str">
        <f t="shared" si="3"/>
        <v>&gt;$150K</v>
      </c>
      <c r="M19">
        <v>10</v>
      </c>
    </row>
    <row r="20" spans="1:13">
      <c r="A20" t="s">
        <v>53</v>
      </c>
      <c r="B20" t="str">
        <f t="shared" si="0"/>
        <v>Mid-Level</v>
      </c>
      <c r="C20" t="str">
        <f t="shared" si="1"/>
        <v>Data Scientist</v>
      </c>
      <c r="D20">
        <v>4.2</v>
      </c>
      <c r="E20" t="s">
        <v>34</v>
      </c>
      <c r="F20" t="str">
        <f t="shared" si="2"/>
        <v>San Francisco</v>
      </c>
      <c r="G20" t="s">
        <v>22</v>
      </c>
      <c r="H20" t="s">
        <v>52</v>
      </c>
      <c r="I20">
        <v>110</v>
      </c>
      <c r="J20">
        <v>175</v>
      </c>
      <c r="K20">
        <v>142.5</v>
      </c>
      <c r="L20" t="str">
        <f t="shared" si="3"/>
        <v>$125–150K</v>
      </c>
      <c r="M20">
        <v>11</v>
      </c>
    </row>
    <row r="21" spans="1:13">
      <c r="A21" t="s">
        <v>7</v>
      </c>
      <c r="B21" t="str">
        <f t="shared" si="0"/>
        <v>Mid-Level</v>
      </c>
      <c r="C21" t="str">
        <f t="shared" si="1"/>
        <v>Data Scientist</v>
      </c>
      <c r="D21">
        <v>4</v>
      </c>
      <c r="E21" t="s">
        <v>54</v>
      </c>
      <c r="F21" t="str">
        <f t="shared" si="2"/>
        <v>Denver</v>
      </c>
      <c r="G21" t="s">
        <v>9</v>
      </c>
      <c r="H21" t="s">
        <v>55</v>
      </c>
      <c r="I21">
        <v>64</v>
      </c>
      <c r="J21">
        <v>111</v>
      </c>
      <c r="K21">
        <v>87.5</v>
      </c>
      <c r="L21" t="str">
        <f t="shared" si="3"/>
        <v>$75–100K</v>
      </c>
      <c r="M21">
        <v>106</v>
      </c>
    </row>
    <row r="22" spans="1:13">
      <c r="A22" t="s">
        <v>7</v>
      </c>
      <c r="B22" t="str">
        <f t="shared" si="0"/>
        <v>Mid-Level</v>
      </c>
      <c r="C22" t="str">
        <f t="shared" si="1"/>
        <v>Data Scientist</v>
      </c>
      <c r="D22">
        <v>3.2</v>
      </c>
      <c r="E22" t="s">
        <v>29</v>
      </c>
      <c r="F22" t="str">
        <f t="shared" si="2"/>
        <v>Seattle</v>
      </c>
      <c r="G22" t="s">
        <v>25</v>
      </c>
      <c r="H22" t="s">
        <v>33</v>
      </c>
      <c r="I22">
        <v>81</v>
      </c>
      <c r="J22">
        <v>130</v>
      </c>
      <c r="K22">
        <v>105.5</v>
      </c>
      <c r="L22" t="str">
        <f t="shared" si="3"/>
        <v>$100–125K</v>
      </c>
      <c r="M22">
        <v>9</v>
      </c>
    </row>
    <row r="23" spans="1:13">
      <c r="A23" t="s">
        <v>56</v>
      </c>
      <c r="B23" t="str">
        <f t="shared" si="0"/>
        <v>Senior</v>
      </c>
      <c r="C23" t="str">
        <f t="shared" si="1"/>
        <v>ML Engineer</v>
      </c>
      <c r="D23">
        <v>3.9</v>
      </c>
      <c r="E23" t="s">
        <v>24</v>
      </c>
      <c r="F23" t="str">
        <f t="shared" si="2"/>
        <v>Dallas</v>
      </c>
      <c r="G23" t="s">
        <v>25</v>
      </c>
      <c r="H23" t="s">
        <v>57</v>
      </c>
      <c r="I23">
        <v>73</v>
      </c>
      <c r="J23">
        <v>119</v>
      </c>
      <c r="K23">
        <v>96</v>
      </c>
      <c r="L23" t="str">
        <f t="shared" si="3"/>
        <v>$75–100K</v>
      </c>
      <c r="M23">
        <v>8</v>
      </c>
    </row>
    <row r="24" spans="1:13">
      <c r="A24" t="s">
        <v>58</v>
      </c>
      <c r="B24" t="str">
        <f t="shared" si="0"/>
        <v>Mid-Level</v>
      </c>
      <c r="C24" t="str">
        <f t="shared" si="1"/>
        <v>Data Scientist</v>
      </c>
      <c r="D24">
        <v>3.8</v>
      </c>
      <c r="E24" t="s">
        <v>59</v>
      </c>
      <c r="F24" t="str">
        <f t="shared" si="2"/>
        <v>Chicago</v>
      </c>
      <c r="G24" t="s">
        <v>9</v>
      </c>
      <c r="H24" t="s">
        <v>60</v>
      </c>
      <c r="I24">
        <v>86</v>
      </c>
      <c r="J24">
        <v>139</v>
      </c>
      <c r="K24">
        <v>112.5</v>
      </c>
      <c r="L24" t="str">
        <f t="shared" si="3"/>
        <v>$100–125K</v>
      </c>
      <c r="M24">
        <v>26</v>
      </c>
    </row>
    <row r="25" spans="1:13">
      <c r="A25" t="s">
        <v>7</v>
      </c>
      <c r="B25" t="str">
        <f t="shared" si="0"/>
        <v>Mid-Level</v>
      </c>
      <c r="C25" t="str">
        <f t="shared" si="1"/>
        <v>Data Scientist</v>
      </c>
      <c r="D25">
        <v>4.3</v>
      </c>
      <c r="E25" t="s">
        <v>61</v>
      </c>
      <c r="F25" t="str">
        <f t="shared" si="2"/>
        <v>Louisville</v>
      </c>
      <c r="G25" t="s">
        <v>22</v>
      </c>
      <c r="H25" t="s">
        <v>60</v>
      </c>
      <c r="I25">
        <v>63</v>
      </c>
      <c r="J25">
        <v>105</v>
      </c>
      <c r="K25">
        <v>84</v>
      </c>
      <c r="L25" t="str">
        <f t="shared" si="3"/>
        <v>$75–100K</v>
      </c>
      <c r="M25">
        <v>86</v>
      </c>
    </row>
    <row r="26" spans="1:13">
      <c r="A26" t="s">
        <v>7</v>
      </c>
      <c r="B26" t="str">
        <f t="shared" si="0"/>
        <v>Mid-Level</v>
      </c>
      <c r="C26" t="str">
        <f t="shared" si="1"/>
        <v>Data Scientist</v>
      </c>
      <c r="D26">
        <v>4</v>
      </c>
      <c r="E26" t="s">
        <v>37</v>
      </c>
      <c r="F26" t="str">
        <f t="shared" si="2"/>
        <v>Herndon</v>
      </c>
      <c r="G26" t="s">
        <v>9</v>
      </c>
      <c r="H26" t="s">
        <v>52</v>
      </c>
      <c r="I26">
        <v>109</v>
      </c>
      <c r="J26">
        <v>177</v>
      </c>
      <c r="K26">
        <v>143</v>
      </c>
      <c r="L26" t="str">
        <f t="shared" si="3"/>
        <v>$125–150K</v>
      </c>
      <c r="M26">
        <v>9</v>
      </c>
    </row>
    <row r="27" spans="1:13">
      <c r="A27" t="s">
        <v>62</v>
      </c>
      <c r="B27" t="str">
        <f t="shared" si="0"/>
        <v>Mid-Level</v>
      </c>
      <c r="C27" t="str">
        <f t="shared" si="1"/>
        <v>Data Scientist</v>
      </c>
      <c r="D27">
        <v>4</v>
      </c>
      <c r="E27" t="s">
        <v>44</v>
      </c>
      <c r="F27" t="str">
        <f t="shared" si="2"/>
        <v>Cambridge</v>
      </c>
      <c r="G27" t="s">
        <v>14</v>
      </c>
      <c r="H27" t="s">
        <v>45</v>
      </c>
      <c r="I27">
        <v>63</v>
      </c>
      <c r="J27">
        <v>110</v>
      </c>
      <c r="K27">
        <v>86.5</v>
      </c>
      <c r="L27" t="str">
        <f t="shared" si="3"/>
        <v>$75–100K</v>
      </c>
      <c r="M27">
        <v>172</v>
      </c>
    </row>
    <row r="28" spans="1:13">
      <c r="A28" t="s">
        <v>7</v>
      </c>
      <c r="B28" t="str">
        <f t="shared" si="0"/>
        <v>Mid-Level</v>
      </c>
      <c r="C28" t="str">
        <f t="shared" si="1"/>
        <v>Data Scientist</v>
      </c>
      <c r="D28">
        <v>3.5</v>
      </c>
      <c r="E28" t="s">
        <v>63</v>
      </c>
      <c r="F28" t="str">
        <f t="shared" si="2"/>
        <v>Hillsboro</v>
      </c>
      <c r="G28" t="s">
        <v>19</v>
      </c>
      <c r="H28" t="s">
        <v>27</v>
      </c>
      <c r="I28">
        <v>75</v>
      </c>
      <c r="J28">
        <v>124</v>
      </c>
      <c r="K28">
        <v>99.5</v>
      </c>
      <c r="L28" t="str">
        <f t="shared" si="3"/>
        <v>$75–100K</v>
      </c>
      <c r="M28">
        <v>69</v>
      </c>
    </row>
    <row r="29" spans="1:13">
      <c r="A29" t="s">
        <v>64</v>
      </c>
      <c r="B29" t="str">
        <f t="shared" si="0"/>
        <v>Junior</v>
      </c>
      <c r="C29" t="str">
        <f t="shared" si="1"/>
        <v>Data Analyst</v>
      </c>
      <c r="D29">
        <v>3.7</v>
      </c>
      <c r="E29" t="s">
        <v>65</v>
      </c>
      <c r="F29" t="str">
        <f t="shared" si="2"/>
        <v>Worcester</v>
      </c>
      <c r="G29" t="s">
        <v>38</v>
      </c>
      <c r="H29" t="s">
        <v>55</v>
      </c>
      <c r="I29">
        <v>34</v>
      </c>
      <c r="J29">
        <v>61</v>
      </c>
      <c r="K29">
        <v>47.5</v>
      </c>
      <c r="L29" t="str">
        <f t="shared" si="3"/>
        <v>&lt;$50K</v>
      </c>
      <c r="M29">
        <v>169</v>
      </c>
    </row>
    <row r="30" spans="1:13">
      <c r="A30" t="s">
        <v>66</v>
      </c>
      <c r="B30" t="str">
        <f t="shared" si="0"/>
        <v>Mid-Level</v>
      </c>
      <c r="C30" t="str">
        <f t="shared" si="1"/>
        <v>Data Scientist</v>
      </c>
      <c r="D30">
        <v>4</v>
      </c>
      <c r="E30" t="s">
        <v>67</v>
      </c>
      <c r="F30" t="str">
        <f t="shared" si="2"/>
        <v>Groton</v>
      </c>
      <c r="G30" t="s">
        <v>14</v>
      </c>
      <c r="H30" t="s">
        <v>45</v>
      </c>
      <c r="I30">
        <v>63</v>
      </c>
      <c r="J30">
        <v>105</v>
      </c>
      <c r="K30">
        <v>84</v>
      </c>
      <c r="L30" t="str">
        <f t="shared" si="3"/>
        <v>$75–100K</v>
      </c>
      <c r="M30">
        <v>172</v>
      </c>
    </row>
    <row r="31" spans="1:13">
      <c r="A31" t="s">
        <v>7</v>
      </c>
      <c r="B31" t="str">
        <f t="shared" si="0"/>
        <v>Mid-Level</v>
      </c>
      <c r="C31" t="str">
        <f t="shared" si="1"/>
        <v>Data Scientist</v>
      </c>
      <c r="D31">
        <v>4.8</v>
      </c>
      <c r="E31" t="s">
        <v>16</v>
      </c>
      <c r="F31" t="str">
        <f t="shared" si="2"/>
        <v>Clearwater</v>
      </c>
      <c r="G31" t="s">
        <v>9</v>
      </c>
      <c r="H31" t="s">
        <v>17</v>
      </c>
      <c r="I31">
        <v>80</v>
      </c>
      <c r="J31">
        <v>90</v>
      </c>
      <c r="K31">
        <v>85</v>
      </c>
      <c r="L31" t="str">
        <f t="shared" si="3"/>
        <v>$75–100K</v>
      </c>
      <c r="M31">
        <v>11</v>
      </c>
    </row>
    <row r="32" spans="1:13">
      <c r="A32" t="s">
        <v>7</v>
      </c>
      <c r="B32" t="str">
        <f t="shared" si="0"/>
        <v>Mid-Level</v>
      </c>
      <c r="C32" t="str">
        <f t="shared" si="1"/>
        <v>Data Scientist</v>
      </c>
      <c r="D32">
        <v>3.8</v>
      </c>
      <c r="E32" t="s">
        <v>18</v>
      </c>
      <c r="F32" t="str">
        <f t="shared" si="2"/>
        <v>Richland</v>
      </c>
      <c r="G32" t="s">
        <v>19</v>
      </c>
      <c r="H32" t="s">
        <v>20</v>
      </c>
      <c r="I32">
        <v>56</v>
      </c>
      <c r="J32">
        <v>97</v>
      </c>
      <c r="K32">
        <v>76.5</v>
      </c>
      <c r="L32" t="str">
        <f t="shared" si="3"/>
        <v>$75–100K</v>
      </c>
      <c r="M32">
        <v>56</v>
      </c>
    </row>
    <row r="33" spans="1:13">
      <c r="A33" t="s">
        <v>7</v>
      </c>
      <c r="B33" t="str">
        <f t="shared" si="0"/>
        <v>Mid-Level</v>
      </c>
      <c r="C33" t="str">
        <f t="shared" si="1"/>
        <v>Data Scientist</v>
      </c>
      <c r="D33">
        <v>3.6</v>
      </c>
      <c r="E33" t="s">
        <v>68</v>
      </c>
      <c r="F33" t="str">
        <f t="shared" si="2"/>
        <v>Detroit</v>
      </c>
      <c r="G33" t="s">
        <v>19</v>
      </c>
      <c r="H33" t="s">
        <v>26</v>
      </c>
      <c r="I33">
        <v>72</v>
      </c>
      <c r="J33">
        <v>120</v>
      </c>
      <c r="K33">
        <v>96</v>
      </c>
      <c r="L33" t="str">
        <f t="shared" si="3"/>
        <v>$75–100K</v>
      </c>
      <c r="M33">
        <v>24</v>
      </c>
    </row>
    <row r="34" spans="1:13">
      <c r="A34" t="s">
        <v>69</v>
      </c>
      <c r="B34" t="str">
        <f t="shared" si="0"/>
        <v>Mid-Level</v>
      </c>
      <c r="C34" t="str">
        <f t="shared" si="1"/>
        <v>ML Engineer</v>
      </c>
      <c r="D34">
        <v>3.8</v>
      </c>
      <c r="E34" t="s">
        <v>44</v>
      </c>
      <c r="F34" t="str">
        <f t="shared" si="2"/>
        <v>Cambridge</v>
      </c>
      <c r="G34" t="s">
        <v>14</v>
      </c>
      <c r="H34" t="s">
        <v>45</v>
      </c>
      <c r="I34">
        <v>86</v>
      </c>
      <c r="J34">
        <v>143</v>
      </c>
      <c r="K34">
        <v>114.5</v>
      </c>
      <c r="L34" t="str">
        <f t="shared" si="3"/>
        <v>$100–125K</v>
      </c>
      <c r="M34">
        <v>25</v>
      </c>
    </row>
    <row r="35" spans="1:13">
      <c r="A35" t="s">
        <v>7</v>
      </c>
      <c r="B35" t="str">
        <f t="shared" si="0"/>
        <v>Mid-Level</v>
      </c>
      <c r="C35" t="str">
        <f t="shared" si="1"/>
        <v>Data Scientist</v>
      </c>
      <c r="D35">
        <v>3.8</v>
      </c>
      <c r="E35" t="s">
        <v>70</v>
      </c>
      <c r="F35" t="str">
        <f t="shared" si="2"/>
        <v>Sunnyvale</v>
      </c>
      <c r="G35" t="s">
        <v>38</v>
      </c>
      <c r="H35" t="s">
        <v>71</v>
      </c>
      <c r="I35">
        <v>93</v>
      </c>
      <c r="J35">
        <v>149</v>
      </c>
      <c r="K35">
        <v>121</v>
      </c>
      <c r="L35" t="str">
        <f t="shared" si="3"/>
        <v>$100–125K</v>
      </c>
      <c r="M35">
        <v>25</v>
      </c>
    </row>
    <row r="36" spans="1:13">
      <c r="A36" t="s">
        <v>7</v>
      </c>
      <c r="B36" t="str">
        <f t="shared" si="0"/>
        <v>Mid-Level</v>
      </c>
      <c r="C36" t="str">
        <f t="shared" si="1"/>
        <v>Data Scientist</v>
      </c>
      <c r="D36">
        <v>4.7</v>
      </c>
      <c r="E36" t="s">
        <v>72</v>
      </c>
      <c r="F36" t="str">
        <f t="shared" si="2"/>
        <v>Ipswich</v>
      </c>
      <c r="G36" t="s">
        <v>25</v>
      </c>
      <c r="H36" t="s">
        <v>45</v>
      </c>
      <c r="I36">
        <v>85</v>
      </c>
      <c r="J36">
        <v>140</v>
      </c>
      <c r="K36">
        <v>112.5</v>
      </c>
      <c r="L36" t="str">
        <f t="shared" si="3"/>
        <v>$100–125K</v>
      </c>
      <c r="M36">
        <v>47</v>
      </c>
    </row>
    <row r="37" spans="1:13">
      <c r="A37" t="s">
        <v>73</v>
      </c>
      <c r="B37" t="str">
        <f t="shared" si="0"/>
        <v>Mid-Level</v>
      </c>
      <c r="C37" t="str">
        <f t="shared" si="1"/>
        <v>Data Analyst</v>
      </c>
      <c r="D37">
        <v>4.2</v>
      </c>
      <c r="E37" t="s">
        <v>28</v>
      </c>
      <c r="F37" t="str">
        <f t="shared" si="2"/>
        <v>San Jose</v>
      </c>
      <c r="G37" t="s">
        <v>25</v>
      </c>
      <c r="H37" t="s">
        <v>74</v>
      </c>
      <c r="I37">
        <v>77</v>
      </c>
      <c r="J37">
        <v>135</v>
      </c>
      <c r="K37">
        <v>106</v>
      </c>
      <c r="L37" t="str">
        <f t="shared" si="3"/>
        <v>$100–125K</v>
      </c>
      <c r="M37">
        <v>13</v>
      </c>
    </row>
    <row r="38" spans="1:13">
      <c r="A38" t="s">
        <v>7</v>
      </c>
      <c r="B38" t="str">
        <f t="shared" si="0"/>
        <v>Mid-Level</v>
      </c>
      <c r="C38" t="str">
        <f t="shared" si="1"/>
        <v>Data Scientist</v>
      </c>
      <c r="D38">
        <v>3.5</v>
      </c>
      <c r="E38" t="s">
        <v>75</v>
      </c>
      <c r="F38" t="str">
        <f t="shared" si="2"/>
        <v>Redlands</v>
      </c>
      <c r="G38" t="s">
        <v>19</v>
      </c>
      <c r="H38" t="s">
        <v>76</v>
      </c>
      <c r="I38">
        <v>82</v>
      </c>
      <c r="J38">
        <v>132</v>
      </c>
      <c r="K38">
        <v>107</v>
      </c>
      <c r="L38" t="str">
        <f t="shared" si="3"/>
        <v>$100–125K</v>
      </c>
      <c r="M38">
        <v>52</v>
      </c>
    </row>
    <row r="39" spans="1:13">
      <c r="A39" t="s">
        <v>7</v>
      </c>
      <c r="B39" t="str">
        <f t="shared" si="0"/>
        <v>Mid-Level</v>
      </c>
      <c r="C39" t="str">
        <f t="shared" si="1"/>
        <v>Data Scientist</v>
      </c>
      <c r="D39">
        <v>4.7</v>
      </c>
      <c r="E39" t="s">
        <v>77</v>
      </c>
      <c r="F39" t="str">
        <f t="shared" si="2"/>
        <v>Woburn</v>
      </c>
      <c r="G39" t="s">
        <v>25</v>
      </c>
      <c r="H39" t="s">
        <v>10</v>
      </c>
      <c r="I39">
        <v>83</v>
      </c>
      <c r="J39">
        <v>137</v>
      </c>
      <c r="K39">
        <v>110</v>
      </c>
      <c r="L39" t="str">
        <f t="shared" si="3"/>
        <v>$100–125K</v>
      </c>
      <c r="M39">
        <v>11</v>
      </c>
    </row>
    <row r="40" spans="1:13">
      <c r="A40" t="s">
        <v>78</v>
      </c>
      <c r="B40" t="str">
        <f t="shared" si="0"/>
        <v>Senior</v>
      </c>
      <c r="C40" t="str">
        <f t="shared" si="1"/>
        <v>Data Scientist</v>
      </c>
      <c r="D40">
        <v>3.5</v>
      </c>
      <c r="E40" t="s">
        <v>79</v>
      </c>
      <c r="F40" t="str">
        <f t="shared" si="2"/>
        <v>Fremont</v>
      </c>
      <c r="G40" t="s">
        <v>38</v>
      </c>
      <c r="H40" t="s">
        <v>45</v>
      </c>
      <c r="I40">
        <v>115</v>
      </c>
      <c r="J40">
        <v>180</v>
      </c>
      <c r="K40">
        <v>147.5</v>
      </c>
      <c r="L40" t="str">
        <f t="shared" si="3"/>
        <v>$125–150K</v>
      </c>
      <c r="M40">
        <v>151</v>
      </c>
    </row>
    <row r="41" spans="1:13">
      <c r="A41" t="s">
        <v>80</v>
      </c>
      <c r="B41" t="str">
        <f t="shared" si="0"/>
        <v>Mid-Level</v>
      </c>
      <c r="C41" t="str">
        <f t="shared" si="1"/>
        <v>Data Engineer</v>
      </c>
      <c r="D41">
        <v>3.5</v>
      </c>
      <c r="E41" t="s">
        <v>81</v>
      </c>
      <c r="F41" t="str">
        <f t="shared" si="2"/>
        <v>Long Beach</v>
      </c>
      <c r="G41" t="s">
        <v>25</v>
      </c>
      <c r="H41" t="s">
        <v>55</v>
      </c>
      <c r="I41">
        <v>74</v>
      </c>
      <c r="J41">
        <v>138</v>
      </c>
      <c r="K41">
        <v>106</v>
      </c>
      <c r="L41" t="str">
        <f t="shared" si="3"/>
        <v>$100–125K</v>
      </c>
      <c r="M41">
        <v>36</v>
      </c>
    </row>
    <row r="42" spans="1:13">
      <c r="A42" t="s">
        <v>43</v>
      </c>
      <c r="B42" t="str">
        <f t="shared" si="0"/>
        <v>Mid-Level</v>
      </c>
      <c r="C42" t="str">
        <f t="shared" si="1"/>
        <v>Data Analyst</v>
      </c>
      <c r="D42">
        <v>4.2</v>
      </c>
      <c r="E42" t="s">
        <v>34</v>
      </c>
      <c r="F42" t="str">
        <f t="shared" si="2"/>
        <v>San Francisco</v>
      </c>
      <c r="G42" t="s">
        <v>25</v>
      </c>
      <c r="H42" t="s">
        <v>74</v>
      </c>
      <c r="I42">
        <v>64</v>
      </c>
      <c r="J42">
        <v>112</v>
      </c>
      <c r="K42">
        <v>88</v>
      </c>
      <c r="L42" t="str">
        <f t="shared" si="3"/>
        <v>$75–100K</v>
      </c>
      <c r="M42">
        <v>13</v>
      </c>
    </row>
    <row r="43" spans="1:13">
      <c r="A43" t="s">
        <v>80</v>
      </c>
      <c r="B43" t="str">
        <f t="shared" si="0"/>
        <v>Mid-Level</v>
      </c>
      <c r="C43" t="str">
        <f t="shared" si="1"/>
        <v>Data Engineer</v>
      </c>
      <c r="D43">
        <v>3.6</v>
      </c>
      <c r="E43" t="s">
        <v>82</v>
      </c>
      <c r="F43" t="str">
        <f t="shared" si="2"/>
        <v>Marlborough</v>
      </c>
      <c r="G43" s="1">
        <v>18264</v>
      </c>
      <c r="H43">
        <v>-1</v>
      </c>
      <c r="I43">
        <v>68</v>
      </c>
      <c r="J43">
        <v>129</v>
      </c>
      <c r="K43">
        <v>98.5</v>
      </c>
      <c r="L43" t="str">
        <f t="shared" si="3"/>
        <v>$75–100K</v>
      </c>
      <c r="M43">
        <v>-1</v>
      </c>
    </row>
    <row r="44" spans="1:13">
      <c r="A44" t="s">
        <v>83</v>
      </c>
      <c r="B44" t="str">
        <f t="shared" si="0"/>
        <v>Mid-Level</v>
      </c>
      <c r="C44" t="str">
        <f t="shared" si="1"/>
        <v>Data Scientist</v>
      </c>
      <c r="D44">
        <v>4.2</v>
      </c>
      <c r="E44" t="s">
        <v>34</v>
      </c>
      <c r="F44" t="str">
        <f t="shared" si="2"/>
        <v>San Francisco</v>
      </c>
      <c r="G44" t="s">
        <v>22</v>
      </c>
      <c r="H44" t="s">
        <v>52</v>
      </c>
      <c r="I44">
        <v>110</v>
      </c>
      <c r="J44">
        <v>175</v>
      </c>
      <c r="K44">
        <v>142.5</v>
      </c>
      <c r="L44" t="str">
        <f t="shared" si="3"/>
        <v>$125–150K</v>
      </c>
      <c r="M44">
        <v>11</v>
      </c>
    </row>
    <row r="45" spans="1:13">
      <c r="A45" t="s">
        <v>84</v>
      </c>
      <c r="B45" t="str">
        <f t="shared" si="0"/>
        <v>Mid-Level</v>
      </c>
      <c r="C45" t="str">
        <f t="shared" si="1"/>
        <v>Data Scientist</v>
      </c>
      <c r="D45">
        <v>3.4</v>
      </c>
      <c r="E45" t="s">
        <v>85</v>
      </c>
      <c r="F45" t="str">
        <f t="shared" si="2"/>
        <v>Allendale</v>
      </c>
      <c r="G45" t="s">
        <v>38</v>
      </c>
      <c r="H45" t="s">
        <v>86</v>
      </c>
      <c r="I45">
        <v>52</v>
      </c>
      <c r="J45">
        <v>113</v>
      </c>
      <c r="K45">
        <v>82.5</v>
      </c>
      <c r="L45" t="str">
        <f t="shared" si="3"/>
        <v>$75–100K</v>
      </c>
      <c r="M45">
        <v>6</v>
      </c>
    </row>
    <row r="46" spans="1:13">
      <c r="A46" t="s">
        <v>78</v>
      </c>
      <c r="B46" t="str">
        <f t="shared" si="0"/>
        <v>Senior</v>
      </c>
      <c r="C46" t="str">
        <f t="shared" si="1"/>
        <v>Data Scientist</v>
      </c>
      <c r="D46">
        <v>4.3</v>
      </c>
      <c r="E46" t="s">
        <v>59</v>
      </c>
      <c r="F46" t="str">
        <f t="shared" si="2"/>
        <v>Chicago</v>
      </c>
      <c r="G46" t="s">
        <v>19</v>
      </c>
      <c r="H46" t="s">
        <v>26</v>
      </c>
      <c r="I46">
        <v>110</v>
      </c>
      <c r="J46">
        <v>150</v>
      </c>
      <c r="K46">
        <v>130</v>
      </c>
      <c r="L46" t="str">
        <f t="shared" si="3"/>
        <v>$125–150K</v>
      </c>
      <c r="M46">
        <v>28</v>
      </c>
    </row>
    <row r="47" spans="1:13">
      <c r="A47" t="s">
        <v>7</v>
      </c>
      <c r="B47" t="str">
        <f t="shared" si="0"/>
        <v>Mid-Level</v>
      </c>
      <c r="C47" t="str">
        <f t="shared" si="1"/>
        <v>Data Scientist</v>
      </c>
      <c r="D47">
        <v>5</v>
      </c>
      <c r="E47" t="s">
        <v>87</v>
      </c>
      <c r="F47" t="str">
        <f t="shared" si="2"/>
        <v>Washington</v>
      </c>
      <c r="G47" t="s">
        <v>89</v>
      </c>
      <c r="H47" t="s">
        <v>52</v>
      </c>
      <c r="I47">
        <v>150</v>
      </c>
      <c r="J47">
        <v>160</v>
      </c>
      <c r="K47">
        <v>155</v>
      </c>
      <c r="L47" t="str">
        <f t="shared" si="3"/>
        <v>&gt;$150K</v>
      </c>
      <c r="M47">
        <v>-1</v>
      </c>
    </row>
    <row r="48" spans="1:13">
      <c r="A48" t="s">
        <v>90</v>
      </c>
      <c r="B48" t="str">
        <f t="shared" si="0"/>
        <v>Senior</v>
      </c>
      <c r="C48" t="str">
        <f t="shared" si="1"/>
        <v>Data Scientist</v>
      </c>
      <c r="D48">
        <v>3.7</v>
      </c>
      <c r="E48" t="s">
        <v>91</v>
      </c>
      <c r="F48" t="str">
        <f t="shared" si="2"/>
        <v>Bellevue</v>
      </c>
      <c r="G48" t="s">
        <v>14</v>
      </c>
      <c r="H48" t="s">
        <v>74</v>
      </c>
      <c r="I48">
        <v>158</v>
      </c>
      <c r="J48">
        <v>211</v>
      </c>
      <c r="K48">
        <v>184.5</v>
      </c>
      <c r="L48" t="str">
        <f t="shared" si="3"/>
        <v>&gt;$150K</v>
      </c>
      <c r="M48">
        <v>63</v>
      </c>
    </row>
    <row r="49" spans="1:13">
      <c r="A49" t="s">
        <v>64</v>
      </c>
      <c r="B49" t="str">
        <f t="shared" si="0"/>
        <v>Junior</v>
      </c>
      <c r="C49" t="str">
        <f t="shared" si="1"/>
        <v>Data Analyst</v>
      </c>
      <c r="D49">
        <v>3.1</v>
      </c>
      <c r="E49" t="s">
        <v>93</v>
      </c>
      <c r="F49" t="str">
        <f t="shared" si="2"/>
        <v>Longmont</v>
      </c>
      <c r="G49" t="s">
        <v>38</v>
      </c>
      <c r="H49" t="s">
        <v>52</v>
      </c>
      <c r="I49">
        <v>20</v>
      </c>
      <c r="J49">
        <v>39</v>
      </c>
      <c r="K49">
        <v>29.5</v>
      </c>
      <c r="L49" t="str">
        <f t="shared" si="3"/>
        <v>&lt;$50K</v>
      </c>
      <c r="M49">
        <v>35</v>
      </c>
    </row>
    <row r="50" spans="1:13">
      <c r="A50" t="s">
        <v>95</v>
      </c>
      <c r="B50" t="str">
        <f t="shared" si="0"/>
        <v>Mid-Level</v>
      </c>
      <c r="C50" t="str">
        <f t="shared" si="1"/>
        <v>Data Scientist</v>
      </c>
      <c r="D50">
        <v>4.7</v>
      </c>
      <c r="E50" t="s">
        <v>96</v>
      </c>
      <c r="F50" t="str">
        <f t="shared" si="2"/>
        <v>Beavercreek</v>
      </c>
      <c r="G50" t="s">
        <v>9</v>
      </c>
      <c r="H50" t="s">
        <v>10</v>
      </c>
      <c r="I50">
        <v>56</v>
      </c>
      <c r="J50">
        <v>117</v>
      </c>
      <c r="K50">
        <v>86.5</v>
      </c>
      <c r="L50" t="str">
        <f t="shared" si="3"/>
        <v>$75–100K</v>
      </c>
      <c r="M50">
        <v>22</v>
      </c>
    </row>
    <row r="51" spans="1:13">
      <c r="A51" t="s">
        <v>97</v>
      </c>
      <c r="B51" t="str">
        <f t="shared" si="0"/>
        <v>Mid-Level</v>
      </c>
      <c r="C51" t="str">
        <f t="shared" si="1"/>
        <v>Data Scientist</v>
      </c>
      <c r="D51">
        <v>3.7</v>
      </c>
      <c r="E51" t="s">
        <v>98</v>
      </c>
      <c r="F51" t="str">
        <f t="shared" si="2"/>
        <v>Peoria</v>
      </c>
      <c r="G51" t="s">
        <v>14</v>
      </c>
      <c r="H51" t="s">
        <v>99</v>
      </c>
      <c r="I51">
        <v>63</v>
      </c>
      <c r="J51">
        <v>99</v>
      </c>
      <c r="K51">
        <v>81</v>
      </c>
      <c r="L51" t="str">
        <f t="shared" si="3"/>
        <v>$75–100K</v>
      </c>
      <c r="M51">
        <v>96</v>
      </c>
    </row>
    <row r="52" spans="1:13">
      <c r="A52" t="s">
        <v>7</v>
      </c>
      <c r="B52" t="str">
        <f t="shared" si="0"/>
        <v>Mid-Level</v>
      </c>
      <c r="C52" t="str">
        <f t="shared" si="1"/>
        <v>Data Scientist</v>
      </c>
      <c r="D52">
        <v>3.8</v>
      </c>
      <c r="E52" t="s">
        <v>100</v>
      </c>
      <c r="F52" t="str">
        <f t="shared" si="2"/>
        <v>Fort Lauderdale</v>
      </c>
      <c r="G52" t="s">
        <v>9</v>
      </c>
      <c r="H52" t="s">
        <v>23</v>
      </c>
      <c r="I52">
        <v>68</v>
      </c>
      <c r="J52">
        <v>114</v>
      </c>
      <c r="K52">
        <v>91</v>
      </c>
      <c r="L52" t="str">
        <f t="shared" si="3"/>
        <v>$75–100K</v>
      </c>
      <c r="M52">
        <v>37</v>
      </c>
    </row>
    <row r="53" spans="1:13">
      <c r="A53" t="s">
        <v>101</v>
      </c>
      <c r="B53" t="str">
        <f t="shared" si="0"/>
        <v>Mid-Level</v>
      </c>
      <c r="C53" t="str">
        <f t="shared" si="1"/>
        <v>Data Scientist</v>
      </c>
      <c r="D53">
        <v>3.3</v>
      </c>
      <c r="E53" t="s">
        <v>102</v>
      </c>
      <c r="F53" t="str">
        <f t="shared" si="2"/>
        <v>Boston</v>
      </c>
      <c r="G53" t="s">
        <v>14</v>
      </c>
      <c r="H53" t="s">
        <v>55</v>
      </c>
      <c r="I53">
        <v>86</v>
      </c>
      <c r="J53">
        <v>143</v>
      </c>
      <c r="K53">
        <v>114.5</v>
      </c>
      <c r="L53" t="str">
        <f t="shared" si="3"/>
        <v>$100–125K</v>
      </c>
      <c r="M53">
        <v>109</v>
      </c>
    </row>
    <row r="54" spans="1:13">
      <c r="A54" t="s">
        <v>103</v>
      </c>
      <c r="B54" t="str">
        <f t="shared" si="0"/>
        <v>Mid-Level</v>
      </c>
      <c r="C54" t="str">
        <f t="shared" si="1"/>
        <v>Data Scientist</v>
      </c>
      <c r="D54">
        <v>4.5999999999999996</v>
      </c>
      <c r="E54" t="s">
        <v>104</v>
      </c>
      <c r="F54" t="str">
        <f t="shared" si="2"/>
        <v>Huntsville</v>
      </c>
      <c r="G54" t="s">
        <v>19</v>
      </c>
      <c r="H54" t="s">
        <v>10</v>
      </c>
      <c r="I54">
        <v>41</v>
      </c>
      <c r="J54">
        <v>95</v>
      </c>
      <c r="K54">
        <v>68</v>
      </c>
      <c r="L54" t="str">
        <f t="shared" si="3"/>
        <v>$50–75K</v>
      </c>
      <c r="M54">
        <v>19</v>
      </c>
    </row>
    <row r="55" spans="1:13">
      <c r="A55" t="s">
        <v>7</v>
      </c>
      <c r="B55" t="str">
        <f t="shared" si="0"/>
        <v>Mid-Level</v>
      </c>
      <c r="C55" t="str">
        <f t="shared" si="1"/>
        <v>Data Scientist</v>
      </c>
      <c r="D55">
        <v>3.7</v>
      </c>
      <c r="E55" t="s">
        <v>105</v>
      </c>
      <c r="F55" t="str">
        <f t="shared" si="2"/>
        <v>Armonk</v>
      </c>
      <c r="G55" t="s">
        <v>14</v>
      </c>
      <c r="H55" t="s">
        <v>57</v>
      </c>
      <c r="I55">
        <v>86</v>
      </c>
      <c r="J55">
        <v>144</v>
      </c>
      <c r="K55">
        <v>115</v>
      </c>
      <c r="L55" t="str">
        <f t="shared" si="3"/>
        <v>$100–125K</v>
      </c>
      <c r="M55">
        <v>158</v>
      </c>
    </row>
    <row r="56" spans="1:13">
      <c r="A56" t="s">
        <v>7</v>
      </c>
      <c r="B56" t="str">
        <f t="shared" si="0"/>
        <v>Mid-Level</v>
      </c>
      <c r="C56" t="str">
        <f t="shared" si="1"/>
        <v>Data Scientist</v>
      </c>
      <c r="D56">
        <v>3.7</v>
      </c>
      <c r="E56" t="s">
        <v>106</v>
      </c>
      <c r="F56" t="str">
        <f t="shared" si="2"/>
        <v>San Diego</v>
      </c>
      <c r="G56" t="s">
        <v>14</v>
      </c>
      <c r="H56" t="s">
        <v>10</v>
      </c>
      <c r="I56">
        <v>80</v>
      </c>
      <c r="J56">
        <v>139</v>
      </c>
      <c r="K56">
        <v>109.5</v>
      </c>
      <c r="L56" t="str">
        <f t="shared" si="3"/>
        <v>$100–125K</v>
      </c>
      <c r="M56">
        <v>82</v>
      </c>
    </row>
    <row r="57" spans="1:13">
      <c r="A57" t="s">
        <v>7</v>
      </c>
      <c r="B57" t="str">
        <f t="shared" si="0"/>
        <v>Mid-Level</v>
      </c>
      <c r="C57" t="str">
        <f t="shared" si="1"/>
        <v>Data Scientist</v>
      </c>
      <c r="D57">
        <v>3.5</v>
      </c>
      <c r="E57" t="s">
        <v>8</v>
      </c>
      <c r="F57" t="str">
        <f t="shared" si="2"/>
        <v>Albuquerque</v>
      </c>
      <c r="G57" t="s">
        <v>38</v>
      </c>
      <c r="H57" t="s">
        <v>45</v>
      </c>
      <c r="I57">
        <v>56</v>
      </c>
      <c r="J57">
        <v>95</v>
      </c>
      <c r="K57">
        <v>75.5</v>
      </c>
      <c r="L57" t="str">
        <f t="shared" si="3"/>
        <v>$75–100K</v>
      </c>
      <c r="M57">
        <v>151</v>
      </c>
    </row>
    <row r="58" spans="1:13">
      <c r="A58" t="s">
        <v>7</v>
      </c>
      <c r="B58" t="str">
        <f t="shared" si="0"/>
        <v>Mid-Level</v>
      </c>
      <c r="C58" t="str">
        <f t="shared" si="1"/>
        <v>Data Scientist</v>
      </c>
      <c r="D58">
        <v>4.0999999999999996</v>
      </c>
      <c r="E58" t="s">
        <v>34</v>
      </c>
      <c r="F58" t="str">
        <f t="shared" si="2"/>
        <v>San Francisco</v>
      </c>
      <c r="G58" t="s">
        <v>9</v>
      </c>
      <c r="H58" t="s">
        <v>52</v>
      </c>
      <c r="I58">
        <v>120</v>
      </c>
      <c r="J58">
        <v>189</v>
      </c>
      <c r="K58">
        <v>154.5</v>
      </c>
      <c r="L58" t="str">
        <f t="shared" si="3"/>
        <v>&gt;$150K</v>
      </c>
      <c r="M58">
        <v>9</v>
      </c>
    </row>
    <row r="59" spans="1:13">
      <c r="A59" t="s">
        <v>7</v>
      </c>
      <c r="B59" t="str">
        <f t="shared" si="0"/>
        <v>Mid-Level</v>
      </c>
      <c r="C59" t="str">
        <f t="shared" si="1"/>
        <v>Data Scientist</v>
      </c>
      <c r="D59">
        <v>4.7</v>
      </c>
      <c r="E59" t="s">
        <v>108</v>
      </c>
      <c r="F59" t="str">
        <f t="shared" si="2"/>
        <v>Saint Louis</v>
      </c>
      <c r="G59" t="s">
        <v>22</v>
      </c>
      <c r="H59" t="s">
        <v>74</v>
      </c>
      <c r="I59">
        <v>111</v>
      </c>
      <c r="J59">
        <v>176</v>
      </c>
      <c r="K59">
        <v>143.5</v>
      </c>
      <c r="L59" t="str">
        <f t="shared" si="3"/>
        <v>$125–150K</v>
      </c>
      <c r="M59">
        <v>5</v>
      </c>
    </row>
    <row r="60" spans="1:13">
      <c r="A60" t="s">
        <v>7</v>
      </c>
      <c r="B60" t="str">
        <f t="shared" si="0"/>
        <v>Mid-Level</v>
      </c>
      <c r="C60" t="str">
        <f t="shared" si="1"/>
        <v>Data Scientist</v>
      </c>
      <c r="D60">
        <v>4.0999999999999996</v>
      </c>
      <c r="E60" t="s">
        <v>13</v>
      </c>
      <c r="F60" t="str">
        <f t="shared" si="2"/>
        <v>Baltimore</v>
      </c>
      <c r="G60" t="s">
        <v>9</v>
      </c>
      <c r="H60" t="s">
        <v>27</v>
      </c>
      <c r="I60">
        <v>54</v>
      </c>
      <c r="J60">
        <v>93</v>
      </c>
      <c r="K60">
        <v>73.5</v>
      </c>
      <c r="L60" t="str">
        <f t="shared" si="3"/>
        <v>$50–75K</v>
      </c>
      <c r="M60">
        <v>13</v>
      </c>
    </row>
    <row r="61" spans="1:13">
      <c r="A61" t="s">
        <v>7</v>
      </c>
      <c r="B61" t="str">
        <f t="shared" si="0"/>
        <v>Mid-Level</v>
      </c>
      <c r="C61" t="str">
        <f t="shared" si="1"/>
        <v>Data Scientist</v>
      </c>
      <c r="D61">
        <v>3.4</v>
      </c>
      <c r="E61" t="s">
        <v>24</v>
      </c>
      <c r="F61" t="str">
        <f t="shared" si="2"/>
        <v>Dallas</v>
      </c>
      <c r="G61" t="s">
        <v>25</v>
      </c>
      <c r="H61" t="s">
        <v>26</v>
      </c>
      <c r="I61">
        <v>71</v>
      </c>
      <c r="J61">
        <v>119</v>
      </c>
      <c r="K61">
        <v>95</v>
      </c>
      <c r="L61" t="str">
        <f t="shared" si="3"/>
        <v>$75–100K</v>
      </c>
      <c r="M61">
        <v>21</v>
      </c>
    </row>
    <row r="62" spans="1:13">
      <c r="A62" t="s">
        <v>78</v>
      </c>
      <c r="B62" t="str">
        <f t="shared" si="0"/>
        <v>Senior</v>
      </c>
      <c r="C62" t="str">
        <f t="shared" si="1"/>
        <v>Data Scientist</v>
      </c>
      <c r="D62">
        <v>4.4000000000000004</v>
      </c>
      <c r="E62" t="s">
        <v>109</v>
      </c>
      <c r="F62" t="str">
        <f t="shared" si="2"/>
        <v>Cincinnati</v>
      </c>
      <c r="G62" t="s">
        <v>25</v>
      </c>
      <c r="H62" t="s">
        <v>110</v>
      </c>
      <c r="I62">
        <v>82</v>
      </c>
      <c r="J62">
        <v>132</v>
      </c>
      <c r="K62">
        <v>107</v>
      </c>
      <c r="L62" t="str">
        <f t="shared" si="3"/>
        <v>$100–125K</v>
      </c>
      <c r="M62">
        <v>136</v>
      </c>
    </row>
    <row r="63" spans="1:13">
      <c r="A63" t="s">
        <v>7</v>
      </c>
      <c r="B63" t="str">
        <f t="shared" si="0"/>
        <v>Mid-Level</v>
      </c>
      <c r="C63" t="str">
        <f t="shared" si="1"/>
        <v>Data Scientist</v>
      </c>
      <c r="D63">
        <v>4.3</v>
      </c>
      <c r="E63" t="s">
        <v>21</v>
      </c>
      <c r="F63" t="str">
        <f t="shared" si="2"/>
        <v>New York</v>
      </c>
      <c r="G63" t="s">
        <v>25</v>
      </c>
      <c r="H63" t="s">
        <v>30</v>
      </c>
      <c r="I63">
        <v>84</v>
      </c>
      <c r="J63">
        <v>146</v>
      </c>
      <c r="K63">
        <v>115</v>
      </c>
      <c r="L63" t="str">
        <f t="shared" si="3"/>
        <v>$100–125K</v>
      </c>
      <c r="M63">
        <v>10</v>
      </c>
    </row>
    <row r="64" spans="1:13">
      <c r="A64" t="s">
        <v>111</v>
      </c>
      <c r="B64" t="str">
        <f t="shared" si="0"/>
        <v>Senior</v>
      </c>
      <c r="C64" t="str">
        <f t="shared" si="1"/>
        <v>Data Scientist</v>
      </c>
      <c r="D64">
        <v>3.8</v>
      </c>
      <c r="E64" t="s">
        <v>112</v>
      </c>
      <c r="F64" t="str">
        <f t="shared" si="2"/>
        <v>Palo Alto</v>
      </c>
      <c r="G64" t="s">
        <v>9</v>
      </c>
      <c r="H64" t="s">
        <v>113</v>
      </c>
      <c r="I64">
        <v>107</v>
      </c>
      <c r="J64">
        <v>172</v>
      </c>
      <c r="K64">
        <v>139.5</v>
      </c>
      <c r="L64" t="str">
        <f t="shared" si="3"/>
        <v>$125–150K</v>
      </c>
      <c r="M64">
        <v>15</v>
      </c>
    </row>
    <row r="65" spans="1:13">
      <c r="A65" t="s">
        <v>114</v>
      </c>
      <c r="B65" t="str">
        <f t="shared" si="0"/>
        <v>Mid-Level</v>
      </c>
      <c r="C65" t="str">
        <f t="shared" si="1"/>
        <v>Data Scientist</v>
      </c>
      <c r="D65">
        <v>3.8</v>
      </c>
      <c r="E65" t="s">
        <v>18</v>
      </c>
      <c r="F65" t="str">
        <f t="shared" si="2"/>
        <v>Richland</v>
      </c>
      <c r="G65" t="s">
        <v>19</v>
      </c>
      <c r="H65" t="s">
        <v>20</v>
      </c>
      <c r="I65">
        <v>49</v>
      </c>
      <c r="J65">
        <v>85</v>
      </c>
      <c r="K65">
        <v>67</v>
      </c>
      <c r="L65" t="str">
        <f t="shared" si="3"/>
        <v>$50–75K</v>
      </c>
      <c r="M65">
        <v>56</v>
      </c>
    </row>
    <row r="66" spans="1:13">
      <c r="A66" t="s">
        <v>7</v>
      </c>
      <c r="B66" t="str">
        <f t="shared" si="0"/>
        <v>Mid-Level</v>
      </c>
      <c r="C66" t="str">
        <f t="shared" si="1"/>
        <v>Data Scientist</v>
      </c>
      <c r="D66">
        <v>3.8</v>
      </c>
      <c r="E66" t="s">
        <v>115</v>
      </c>
      <c r="F66" t="str">
        <f t="shared" si="2"/>
        <v>Coraopolis</v>
      </c>
      <c r="G66" t="s">
        <v>14</v>
      </c>
      <c r="H66" t="s">
        <v>116</v>
      </c>
      <c r="I66">
        <v>61</v>
      </c>
      <c r="J66">
        <v>109</v>
      </c>
      <c r="K66">
        <v>85</v>
      </c>
      <c r="L66" t="str">
        <f t="shared" si="3"/>
        <v>$75–100K</v>
      </c>
      <c r="M66">
        <v>73</v>
      </c>
    </row>
    <row r="67" spans="1:13">
      <c r="A67" t="s">
        <v>7</v>
      </c>
      <c r="B67" t="str">
        <f t="shared" ref="B67:B130" si="4">IF(OR(ISNUMBER(SEARCH("Senior",A67)),ISNUMBER(SEARCH("Sr",A67)),ISNUMBER(SEARCH("Lead",A67)),ISNUMBER(SEARCH("Principal",A67))),"Senior",IF(OR(ISNUMBER(SEARCH("Junior",A67)),ISNUMBER(SEARCH("Jr",A67)),ISNUMBER(SEARCH("Entry",A67)),ISNUMBER(SEARCH("Associate",A67))),"Junior",IF(OR(ISNUMBER(SEARCH("Manager",A67)),ISNUMBER(SEARCH("Director",A67)),ISNUMBER(SEARCH("Head",A67)),ISNUMBER(SEARCH("VP",A67))),"Management","Mid-Level")))</f>
        <v>Mid-Level</v>
      </c>
      <c r="C67" t="str">
        <f t="shared" ref="C67:C130" si="5">IF(ISNUMBER(SEARCH("Machine Learn",A67)),"ML Engineer",IF(ISNUMBER(SEARCH("Data Engineer",A67)),"Data Engineer",IF(ISNUMBER(SEARCH("Data Analyst",A67)),"Data Analyst",IF(ISNUMBER(SEARCH("Business Analyst",A67)),"Business Analyst",IF(ISNUMBER(SEARCH("Research",A67)),"Research Scientist",IF(ISNUMBER(SEARCH("Manager",A67)),"DS Manager",IF(ISNUMBER(SEARCH("Director",A67)),"Director/VP","Data Scientist")))))))</f>
        <v>Data Scientist</v>
      </c>
      <c r="D67">
        <v>2.8</v>
      </c>
      <c r="E67" t="s">
        <v>117</v>
      </c>
      <c r="F67" t="str">
        <f t="shared" ref="F67:F130" si="6">IFERROR(LEFT(E67, FIND(",", E67)-1), E67)</f>
        <v>Framingham</v>
      </c>
      <c r="G67" t="s">
        <v>22</v>
      </c>
      <c r="H67" t="s">
        <v>45</v>
      </c>
      <c r="I67">
        <v>88</v>
      </c>
      <c r="J67">
        <v>148</v>
      </c>
      <c r="K67">
        <v>118</v>
      </c>
      <c r="L67" t="str">
        <f t="shared" ref="L67:L130" si="7">IF(K67&lt;50,"&lt;$50K",IF(K67&lt;75,"$50–75K",IF(K67&lt;100,"$75–100K",IF(K67&lt;125,"$100–125K",IF(K67&lt;150,"$125–150K","&gt;$150K")))))</f>
        <v>$100–125K</v>
      </c>
      <c r="M67">
        <v>15</v>
      </c>
    </row>
    <row r="68" spans="1:13">
      <c r="A68" t="s">
        <v>7</v>
      </c>
      <c r="B68" t="str">
        <f t="shared" si="4"/>
        <v>Mid-Level</v>
      </c>
      <c r="C68" t="str">
        <f t="shared" si="5"/>
        <v>Data Scientist</v>
      </c>
      <c r="D68">
        <v>4.7</v>
      </c>
      <c r="E68" t="s">
        <v>118</v>
      </c>
      <c r="F68" t="str">
        <f t="shared" si="6"/>
        <v>Atlanta</v>
      </c>
      <c r="G68" t="s">
        <v>22</v>
      </c>
      <c r="H68" t="s">
        <v>76</v>
      </c>
      <c r="I68">
        <v>60</v>
      </c>
      <c r="J68">
        <v>99</v>
      </c>
      <c r="K68">
        <v>79.5</v>
      </c>
      <c r="L68" t="str">
        <f t="shared" si="7"/>
        <v>$75–100K</v>
      </c>
      <c r="M68">
        <v>18</v>
      </c>
    </row>
    <row r="69" spans="1:13">
      <c r="A69" t="s">
        <v>119</v>
      </c>
      <c r="B69" t="str">
        <f t="shared" si="4"/>
        <v>Mid-Level</v>
      </c>
      <c r="C69" t="str">
        <f t="shared" si="5"/>
        <v>Research Scientist</v>
      </c>
      <c r="D69">
        <v>3.1</v>
      </c>
      <c r="E69" t="s">
        <v>102</v>
      </c>
      <c r="F69" t="str">
        <f t="shared" si="6"/>
        <v>Boston</v>
      </c>
      <c r="G69" t="s">
        <v>25</v>
      </c>
      <c r="H69" t="s">
        <v>23</v>
      </c>
      <c r="I69">
        <v>41</v>
      </c>
      <c r="J69">
        <v>72</v>
      </c>
      <c r="K69">
        <v>56.5</v>
      </c>
      <c r="L69" t="str">
        <f t="shared" si="7"/>
        <v>$50–75K</v>
      </c>
      <c r="M69">
        <v>22</v>
      </c>
    </row>
    <row r="70" spans="1:13">
      <c r="A70" t="s">
        <v>7</v>
      </c>
      <c r="B70" t="str">
        <f t="shared" si="4"/>
        <v>Mid-Level</v>
      </c>
      <c r="C70" t="str">
        <f t="shared" si="5"/>
        <v>Data Scientist</v>
      </c>
      <c r="D70">
        <v>3.2</v>
      </c>
      <c r="E70" t="s">
        <v>120</v>
      </c>
      <c r="F70" t="str">
        <f t="shared" si="6"/>
        <v>Philadelphia</v>
      </c>
      <c r="G70" s="1">
        <v>18264</v>
      </c>
      <c r="H70" t="s">
        <v>121</v>
      </c>
      <c r="I70">
        <v>96</v>
      </c>
      <c r="J70">
        <v>161</v>
      </c>
      <c r="K70">
        <v>128.5</v>
      </c>
      <c r="L70" t="str">
        <f t="shared" si="7"/>
        <v>$125–150K</v>
      </c>
      <c r="M70">
        <v>-1</v>
      </c>
    </row>
    <row r="71" spans="1:13">
      <c r="A71" t="s">
        <v>122</v>
      </c>
      <c r="B71" t="str">
        <f t="shared" si="4"/>
        <v>Mid-Level</v>
      </c>
      <c r="C71" t="str">
        <f t="shared" si="5"/>
        <v>Data Scientist</v>
      </c>
      <c r="D71">
        <v>4</v>
      </c>
      <c r="E71" t="s">
        <v>123</v>
      </c>
      <c r="F71" t="str">
        <f t="shared" si="6"/>
        <v>Vancouver</v>
      </c>
      <c r="G71" t="s">
        <v>14</v>
      </c>
      <c r="H71" t="s">
        <v>76</v>
      </c>
      <c r="I71">
        <v>65</v>
      </c>
      <c r="J71">
        <v>130</v>
      </c>
      <c r="K71">
        <v>97.5</v>
      </c>
      <c r="L71" t="str">
        <f t="shared" si="7"/>
        <v>$75–100K</v>
      </c>
      <c r="M71">
        <v>82</v>
      </c>
    </row>
    <row r="72" spans="1:13">
      <c r="A72" t="s">
        <v>124</v>
      </c>
      <c r="B72" t="str">
        <f t="shared" si="4"/>
        <v>Mid-Level</v>
      </c>
      <c r="C72" t="str">
        <f t="shared" si="5"/>
        <v>Data Scientist</v>
      </c>
      <c r="D72">
        <v>4.4000000000000004</v>
      </c>
      <c r="E72" t="s">
        <v>125</v>
      </c>
      <c r="F72" t="str">
        <f t="shared" si="6"/>
        <v>Indianapolis</v>
      </c>
      <c r="G72" s="1">
        <v>18264</v>
      </c>
      <c r="H72" t="s">
        <v>52</v>
      </c>
      <c r="I72">
        <v>52</v>
      </c>
      <c r="J72">
        <v>81</v>
      </c>
      <c r="K72">
        <v>66.5</v>
      </c>
      <c r="L72" t="str">
        <f t="shared" si="7"/>
        <v>$50–75K</v>
      </c>
      <c r="M72">
        <v>6</v>
      </c>
    </row>
    <row r="73" spans="1:13">
      <c r="A73" t="s">
        <v>126</v>
      </c>
      <c r="B73" t="str">
        <f t="shared" si="4"/>
        <v>Management</v>
      </c>
      <c r="C73" t="str">
        <f t="shared" si="5"/>
        <v>Director/VP</v>
      </c>
      <c r="D73">
        <v>3.6</v>
      </c>
      <c r="E73" t="s">
        <v>127</v>
      </c>
      <c r="F73" t="str">
        <f t="shared" si="6"/>
        <v>Lake Forest</v>
      </c>
      <c r="G73" t="s">
        <v>14</v>
      </c>
      <c r="H73" t="s">
        <v>128</v>
      </c>
      <c r="I73">
        <v>139</v>
      </c>
      <c r="J73">
        <v>220</v>
      </c>
      <c r="K73">
        <v>179.5</v>
      </c>
      <c r="L73" t="str">
        <f t="shared" si="7"/>
        <v>&gt;$150K</v>
      </c>
      <c r="M73">
        <v>94</v>
      </c>
    </row>
    <row r="74" spans="1:13">
      <c r="A74" t="s">
        <v>84</v>
      </c>
      <c r="B74" t="str">
        <f t="shared" si="4"/>
        <v>Mid-Level</v>
      </c>
      <c r="C74" t="str">
        <f t="shared" si="5"/>
        <v>Data Scientist</v>
      </c>
      <c r="D74">
        <v>2.7</v>
      </c>
      <c r="E74" t="s">
        <v>129</v>
      </c>
      <c r="F74" t="str">
        <f t="shared" si="6"/>
        <v>Maryland Heights</v>
      </c>
      <c r="G74" t="s">
        <v>9</v>
      </c>
      <c r="H74" t="s">
        <v>39</v>
      </c>
      <c r="I74">
        <v>50</v>
      </c>
      <c r="J74">
        <v>102</v>
      </c>
      <c r="K74">
        <v>76</v>
      </c>
      <c r="L74" t="str">
        <f t="shared" si="7"/>
        <v>$75–100K</v>
      </c>
      <c r="M74">
        <v>43</v>
      </c>
    </row>
    <row r="75" spans="1:13">
      <c r="A75" t="s">
        <v>130</v>
      </c>
      <c r="B75" t="str">
        <f t="shared" si="4"/>
        <v>Senior</v>
      </c>
      <c r="C75" t="str">
        <f t="shared" si="5"/>
        <v>Data Scientist</v>
      </c>
      <c r="D75">
        <v>3.9</v>
      </c>
      <c r="E75" t="s">
        <v>131</v>
      </c>
      <c r="F75" t="str">
        <f t="shared" si="6"/>
        <v>Charlottesville</v>
      </c>
      <c r="G75" t="s">
        <v>9</v>
      </c>
      <c r="H75" t="s">
        <v>74</v>
      </c>
      <c r="I75">
        <v>85</v>
      </c>
      <c r="J75">
        <v>139</v>
      </c>
      <c r="K75">
        <v>112</v>
      </c>
      <c r="L75" t="str">
        <f t="shared" si="7"/>
        <v>$100–125K</v>
      </c>
      <c r="M75">
        <v>11</v>
      </c>
    </row>
    <row r="76" spans="1:13">
      <c r="A76" t="s">
        <v>7</v>
      </c>
      <c r="B76" t="str">
        <f t="shared" si="4"/>
        <v>Mid-Level</v>
      </c>
      <c r="C76" t="str">
        <f t="shared" si="5"/>
        <v>Data Scientist</v>
      </c>
      <c r="D76">
        <v>3.1</v>
      </c>
      <c r="E76" t="s">
        <v>133</v>
      </c>
      <c r="F76" t="str">
        <f t="shared" si="6"/>
        <v>Pittsburgh</v>
      </c>
      <c r="G76" t="s">
        <v>19</v>
      </c>
      <c r="H76" t="s">
        <v>134</v>
      </c>
      <c r="I76">
        <v>74</v>
      </c>
      <c r="J76">
        <v>122</v>
      </c>
      <c r="K76">
        <v>98</v>
      </c>
      <c r="L76" t="str">
        <f t="shared" si="7"/>
        <v>$75–100K</v>
      </c>
      <c r="M76">
        <v>161</v>
      </c>
    </row>
    <row r="77" spans="1:13">
      <c r="A77" t="s">
        <v>135</v>
      </c>
      <c r="B77" t="str">
        <f t="shared" si="4"/>
        <v>Senior</v>
      </c>
      <c r="C77" t="str">
        <f t="shared" si="5"/>
        <v>Data Scientist</v>
      </c>
      <c r="D77">
        <v>4</v>
      </c>
      <c r="E77" t="s">
        <v>123</v>
      </c>
      <c r="F77" t="str">
        <f t="shared" si="6"/>
        <v>Vancouver</v>
      </c>
      <c r="G77" t="s">
        <v>14</v>
      </c>
      <c r="H77" t="s">
        <v>76</v>
      </c>
      <c r="I77">
        <v>99</v>
      </c>
      <c r="J77">
        <v>157</v>
      </c>
      <c r="K77">
        <v>128</v>
      </c>
      <c r="L77" t="str">
        <f t="shared" si="7"/>
        <v>$125–150K</v>
      </c>
      <c r="M77">
        <v>82</v>
      </c>
    </row>
    <row r="78" spans="1:13">
      <c r="A78" t="s">
        <v>136</v>
      </c>
      <c r="B78" t="str">
        <f t="shared" si="4"/>
        <v>Mid-Level</v>
      </c>
      <c r="C78" t="str">
        <f t="shared" si="5"/>
        <v>Data Scientist</v>
      </c>
      <c r="D78">
        <v>4.3</v>
      </c>
      <c r="E78" t="s">
        <v>51</v>
      </c>
      <c r="F78" t="str">
        <f t="shared" si="6"/>
        <v>Mountain View</v>
      </c>
      <c r="G78" t="s">
        <v>25</v>
      </c>
      <c r="H78" t="s">
        <v>52</v>
      </c>
      <c r="I78">
        <v>79</v>
      </c>
      <c r="J78">
        <v>222</v>
      </c>
      <c r="K78">
        <v>150.5</v>
      </c>
      <c r="L78" t="str">
        <f t="shared" si="7"/>
        <v>&gt;$150K</v>
      </c>
      <c r="M78">
        <v>10</v>
      </c>
    </row>
    <row r="79" spans="1:13">
      <c r="A79" t="s">
        <v>31</v>
      </c>
      <c r="B79" t="str">
        <f t="shared" si="4"/>
        <v>Mid-Level</v>
      </c>
      <c r="C79" t="str">
        <f t="shared" si="5"/>
        <v>Research Scientist</v>
      </c>
      <c r="D79">
        <v>1.9</v>
      </c>
      <c r="E79" t="s">
        <v>44</v>
      </c>
      <c r="F79" t="str">
        <f t="shared" si="6"/>
        <v>Cambridge</v>
      </c>
      <c r="G79" t="s">
        <v>22</v>
      </c>
      <c r="H79" t="s">
        <v>45</v>
      </c>
      <c r="I79">
        <v>57</v>
      </c>
      <c r="J79">
        <v>118</v>
      </c>
      <c r="K79">
        <v>87.5</v>
      </c>
      <c r="L79" t="str">
        <f t="shared" si="7"/>
        <v>$75–100K</v>
      </c>
      <c r="M79">
        <v>21</v>
      </c>
    </row>
    <row r="80" spans="1:13">
      <c r="A80" t="s">
        <v>7</v>
      </c>
      <c r="B80" t="str">
        <f t="shared" si="4"/>
        <v>Mid-Level</v>
      </c>
      <c r="C80" t="str">
        <f t="shared" si="5"/>
        <v>Data Scientist</v>
      </c>
      <c r="D80">
        <v>3.3</v>
      </c>
      <c r="E80" t="s">
        <v>36</v>
      </c>
      <c r="F80" t="str">
        <f t="shared" si="6"/>
        <v>Chantilly</v>
      </c>
      <c r="G80" t="s">
        <v>19</v>
      </c>
      <c r="H80" t="s">
        <v>10</v>
      </c>
      <c r="I80">
        <v>83</v>
      </c>
      <c r="J80">
        <v>137</v>
      </c>
      <c r="K80">
        <v>110</v>
      </c>
      <c r="L80" t="str">
        <f t="shared" si="7"/>
        <v>$100–125K</v>
      </c>
      <c r="M80">
        <v>4</v>
      </c>
    </row>
    <row r="81" spans="1:13">
      <c r="A81" t="s">
        <v>7</v>
      </c>
      <c r="B81" t="str">
        <f t="shared" si="4"/>
        <v>Mid-Level</v>
      </c>
      <c r="C81" t="str">
        <f t="shared" si="5"/>
        <v>Data Scientist</v>
      </c>
      <c r="D81">
        <v>4.4000000000000004</v>
      </c>
      <c r="E81" t="s">
        <v>28</v>
      </c>
      <c r="F81" t="str">
        <f t="shared" si="6"/>
        <v>San Jose</v>
      </c>
      <c r="G81" t="s">
        <v>14</v>
      </c>
      <c r="H81" t="s">
        <v>74</v>
      </c>
      <c r="I81">
        <v>86</v>
      </c>
      <c r="J81">
        <v>141</v>
      </c>
      <c r="K81">
        <v>113.5</v>
      </c>
      <c r="L81" t="str">
        <f t="shared" si="7"/>
        <v>$100–125K</v>
      </c>
      <c r="M81">
        <v>26</v>
      </c>
    </row>
    <row r="82" spans="1:13">
      <c r="A82" t="s">
        <v>7</v>
      </c>
      <c r="B82" t="str">
        <f t="shared" si="4"/>
        <v>Mid-Level</v>
      </c>
      <c r="C82" t="str">
        <f t="shared" si="5"/>
        <v>Data Scientist</v>
      </c>
      <c r="D82">
        <v>3.9</v>
      </c>
      <c r="E82" t="s">
        <v>34</v>
      </c>
      <c r="F82" t="str">
        <f t="shared" si="6"/>
        <v>San Francisco</v>
      </c>
      <c r="G82" t="s">
        <v>22</v>
      </c>
      <c r="H82" t="s">
        <v>15</v>
      </c>
      <c r="I82">
        <v>94</v>
      </c>
      <c r="J82">
        <v>154</v>
      </c>
      <c r="K82">
        <v>124</v>
      </c>
      <c r="L82" t="str">
        <f t="shared" si="7"/>
        <v>$100–125K</v>
      </c>
      <c r="M82">
        <v>5</v>
      </c>
    </row>
    <row r="83" spans="1:13">
      <c r="A83" t="s">
        <v>137</v>
      </c>
      <c r="B83" t="str">
        <f t="shared" si="4"/>
        <v>Junior</v>
      </c>
      <c r="C83" t="str">
        <f t="shared" si="5"/>
        <v>Data Analyst</v>
      </c>
      <c r="D83">
        <v>4.7</v>
      </c>
      <c r="E83" t="s">
        <v>138</v>
      </c>
      <c r="F83" t="str">
        <f t="shared" si="6"/>
        <v>Harrisburg</v>
      </c>
      <c r="G83" t="s">
        <v>25</v>
      </c>
      <c r="H83" t="s">
        <v>23</v>
      </c>
      <c r="I83">
        <v>37</v>
      </c>
      <c r="J83">
        <v>76</v>
      </c>
      <c r="K83">
        <v>56.5</v>
      </c>
      <c r="L83" t="str">
        <f t="shared" si="7"/>
        <v>$50–75K</v>
      </c>
      <c r="M83">
        <v>24</v>
      </c>
    </row>
    <row r="84" spans="1:13">
      <c r="A84" t="s">
        <v>7</v>
      </c>
      <c r="B84" t="str">
        <f t="shared" si="4"/>
        <v>Mid-Level</v>
      </c>
      <c r="C84" t="str">
        <f t="shared" si="5"/>
        <v>Data Scientist</v>
      </c>
      <c r="D84">
        <v>4.5</v>
      </c>
      <c r="E84" t="s">
        <v>139</v>
      </c>
      <c r="F84" t="str">
        <f t="shared" si="6"/>
        <v>Laurel</v>
      </c>
      <c r="G84" t="s">
        <v>38</v>
      </c>
      <c r="H84" t="s">
        <v>10</v>
      </c>
      <c r="I84">
        <v>100</v>
      </c>
      <c r="J84">
        <v>160</v>
      </c>
      <c r="K84">
        <v>130</v>
      </c>
      <c r="L84" t="str">
        <f t="shared" si="7"/>
        <v>$125–150K</v>
      </c>
      <c r="M84">
        <v>79</v>
      </c>
    </row>
    <row r="85" spans="1:13">
      <c r="A85" t="s">
        <v>43</v>
      </c>
      <c r="B85" t="str">
        <f t="shared" si="4"/>
        <v>Mid-Level</v>
      </c>
      <c r="C85" t="str">
        <f t="shared" si="5"/>
        <v>Data Analyst</v>
      </c>
      <c r="D85">
        <v>4.3</v>
      </c>
      <c r="E85" t="s">
        <v>59</v>
      </c>
      <c r="F85" t="str">
        <f t="shared" si="6"/>
        <v>Chicago</v>
      </c>
      <c r="G85" t="s">
        <v>22</v>
      </c>
      <c r="H85" t="s">
        <v>76</v>
      </c>
      <c r="I85">
        <v>55</v>
      </c>
      <c r="J85">
        <v>100</v>
      </c>
      <c r="K85">
        <v>77.5</v>
      </c>
      <c r="L85" t="str">
        <f t="shared" si="7"/>
        <v>$75–100K</v>
      </c>
      <c r="M85">
        <v>13</v>
      </c>
    </row>
    <row r="86" spans="1:13">
      <c r="A86" t="s">
        <v>80</v>
      </c>
      <c r="B86" t="str">
        <f t="shared" si="4"/>
        <v>Mid-Level</v>
      </c>
      <c r="C86" t="str">
        <f t="shared" si="5"/>
        <v>Data Engineer</v>
      </c>
      <c r="D86">
        <v>4</v>
      </c>
      <c r="E86" t="s">
        <v>140</v>
      </c>
      <c r="F86" t="str">
        <f t="shared" si="6"/>
        <v>Arlington</v>
      </c>
      <c r="G86" t="s">
        <v>25</v>
      </c>
      <c r="H86" t="s">
        <v>30</v>
      </c>
      <c r="I86">
        <v>60</v>
      </c>
      <c r="J86">
        <v>114</v>
      </c>
      <c r="K86">
        <v>87</v>
      </c>
      <c r="L86" t="str">
        <f t="shared" si="7"/>
        <v>$75–100K</v>
      </c>
      <c r="M86">
        <v>19</v>
      </c>
    </row>
    <row r="87" spans="1:13">
      <c r="A87" t="s">
        <v>43</v>
      </c>
      <c r="B87" t="str">
        <f t="shared" si="4"/>
        <v>Mid-Level</v>
      </c>
      <c r="C87" t="str">
        <f t="shared" si="5"/>
        <v>Data Analyst</v>
      </c>
      <c r="D87">
        <v>4.4000000000000004</v>
      </c>
      <c r="E87" t="s">
        <v>141</v>
      </c>
      <c r="F87" t="str">
        <f t="shared" si="6"/>
        <v>Tacoma</v>
      </c>
      <c r="G87" t="s">
        <v>9</v>
      </c>
      <c r="H87" t="s">
        <v>128</v>
      </c>
      <c r="I87">
        <v>39</v>
      </c>
      <c r="J87">
        <v>68</v>
      </c>
      <c r="K87">
        <v>53.5</v>
      </c>
      <c r="L87" t="str">
        <f t="shared" si="7"/>
        <v>$50–75K</v>
      </c>
      <c r="M87">
        <v>73</v>
      </c>
    </row>
    <row r="88" spans="1:13">
      <c r="A88" t="s">
        <v>40</v>
      </c>
      <c r="B88" t="str">
        <f t="shared" si="4"/>
        <v>Mid-Level</v>
      </c>
      <c r="C88" t="str">
        <f t="shared" si="5"/>
        <v>Data Scientist</v>
      </c>
      <c r="D88">
        <v>3.2</v>
      </c>
      <c r="E88" t="s">
        <v>41</v>
      </c>
      <c r="F88" t="str">
        <f t="shared" si="6"/>
        <v>Plano</v>
      </c>
      <c r="G88" t="s">
        <v>14</v>
      </c>
      <c r="H88" t="s">
        <v>42</v>
      </c>
      <c r="I88">
        <v>106</v>
      </c>
      <c r="J88">
        <v>172</v>
      </c>
      <c r="K88">
        <v>139</v>
      </c>
      <c r="L88" t="str">
        <f t="shared" si="7"/>
        <v>$125–150K</v>
      </c>
      <c r="M88">
        <v>59</v>
      </c>
    </row>
    <row r="89" spans="1:13">
      <c r="A89" t="s">
        <v>7</v>
      </c>
      <c r="B89" t="str">
        <f t="shared" si="4"/>
        <v>Mid-Level</v>
      </c>
      <c r="C89" t="str">
        <f t="shared" si="5"/>
        <v>Data Scientist</v>
      </c>
      <c r="D89">
        <v>3.8</v>
      </c>
      <c r="E89" t="s">
        <v>28</v>
      </c>
      <c r="F89" t="str">
        <f t="shared" si="6"/>
        <v>San Jose</v>
      </c>
      <c r="G89" t="s">
        <v>25</v>
      </c>
      <c r="H89" t="s">
        <v>30</v>
      </c>
      <c r="I89">
        <v>86</v>
      </c>
      <c r="J89">
        <v>142</v>
      </c>
      <c r="K89">
        <v>114</v>
      </c>
      <c r="L89" t="str">
        <f t="shared" si="7"/>
        <v>$100–125K</v>
      </c>
      <c r="M89">
        <v>16</v>
      </c>
    </row>
    <row r="90" spans="1:13">
      <c r="A90" t="s">
        <v>7</v>
      </c>
      <c r="B90" t="str">
        <f t="shared" si="4"/>
        <v>Mid-Level</v>
      </c>
      <c r="C90" t="str">
        <f t="shared" si="5"/>
        <v>Data Scientist</v>
      </c>
      <c r="D90">
        <v>4.2</v>
      </c>
      <c r="E90" t="s">
        <v>142</v>
      </c>
      <c r="F90" t="str">
        <f t="shared" si="6"/>
        <v>Miami</v>
      </c>
      <c r="G90" t="s">
        <v>9</v>
      </c>
      <c r="H90" t="s">
        <v>52</v>
      </c>
      <c r="I90">
        <v>64</v>
      </c>
      <c r="J90">
        <v>107</v>
      </c>
      <c r="K90">
        <v>85.5</v>
      </c>
      <c r="L90" t="str">
        <f t="shared" si="7"/>
        <v>$75–100K</v>
      </c>
      <c r="M90">
        <v>13</v>
      </c>
    </row>
    <row r="91" spans="1:13">
      <c r="A91" t="s">
        <v>143</v>
      </c>
      <c r="B91" t="str">
        <f t="shared" si="4"/>
        <v>Mid-Level</v>
      </c>
      <c r="C91" t="str">
        <f t="shared" si="5"/>
        <v>Data Scientist</v>
      </c>
      <c r="D91">
        <v>4.5</v>
      </c>
      <c r="E91" t="s">
        <v>104</v>
      </c>
      <c r="F91" t="str">
        <f t="shared" si="6"/>
        <v>Huntsville</v>
      </c>
      <c r="G91" t="s">
        <v>22</v>
      </c>
      <c r="H91" t="s">
        <v>74</v>
      </c>
      <c r="I91">
        <v>31</v>
      </c>
      <c r="J91">
        <v>65</v>
      </c>
      <c r="K91">
        <v>48</v>
      </c>
      <c r="L91" t="str">
        <f t="shared" si="7"/>
        <v>&lt;$50K</v>
      </c>
      <c r="M91">
        <v>25</v>
      </c>
    </row>
    <row r="92" spans="1:13">
      <c r="A92" t="s">
        <v>144</v>
      </c>
      <c r="B92" t="str">
        <f t="shared" si="4"/>
        <v>Mid-Level</v>
      </c>
      <c r="C92" t="str">
        <f t="shared" si="5"/>
        <v>Data Analyst</v>
      </c>
      <c r="D92">
        <v>3.5</v>
      </c>
      <c r="E92" t="s">
        <v>145</v>
      </c>
      <c r="F92" t="str">
        <f t="shared" si="6"/>
        <v>New Orleans</v>
      </c>
      <c r="G92" t="s">
        <v>22</v>
      </c>
      <c r="H92" t="s">
        <v>52</v>
      </c>
      <c r="I92">
        <v>34</v>
      </c>
      <c r="J92">
        <v>62</v>
      </c>
      <c r="K92">
        <v>48</v>
      </c>
      <c r="L92" t="str">
        <f t="shared" si="7"/>
        <v>&lt;$50K</v>
      </c>
      <c r="M92">
        <v>22</v>
      </c>
    </row>
    <row r="93" spans="1:13">
      <c r="A93" t="s">
        <v>146</v>
      </c>
      <c r="B93" t="str">
        <f t="shared" si="4"/>
        <v>Senior</v>
      </c>
      <c r="C93" t="str">
        <f t="shared" si="5"/>
        <v>Data Scientist</v>
      </c>
      <c r="D93">
        <v>3.5</v>
      </c>
      <c r="E93" t="s">
        <v>34</v>
      </c>
      <c r="F93" t="str">
        <f t="shared" si="6"/>
        <v>San Francisco</v>
      </c>
      <c r="G93" t="s">
        <v>25</v>
      </c>
      <c r="H93" t="s">
        <v>45</v>
      </c>
      <c r="I93">
        <v>117</v>
      </c>
      <c r="J93">
        <v>231</v>
      </c>
      <c r="K93">
        <v>174</v>
      </c>
      <c r="L93" t="str">
        <f t="shared" si="7"/>
        <v>&gt;$150K</v>
      </c>
      <c r="M93">
        <v>31</v>
      </c>
    </row>
    <row r="94" spans="1:13">
      <c r="A94" t="s">
        <v>147</v>
      </c>
      <c r="B94" t="str">
        <f t="shared" si="4"/>
        <v>Mid-Level</v>
      </c>
      <c r="C94" t="str">
        <f t="shared" si="5"/>
        <v>Data Scientist</v>
      </c>
      <c r="D94">
        <v>3.9</v>
      </c>
      <c r="E94" t="s">
        <v>118</v>
      </c>
      <c r="F94" t="str">
        <f t="shared" si="6"/>
        <v>Atlanta</v>
      </c>
      <c r="G94" t="s">
        <v>38</v>
      </c>
      <c r="H94" t="s">
        <v>148</v>
      </c>
      <c r="I94">
        <v>64</v>
      </c>
      <c r="J94">
        <v>106</v>
      </c>
      <c r="K94">
        <v>85</v>
      </c>
      <c r="L94" t="str">
        <f t="shared" si="7"/>
        <v>$75–100K</v>
      </c>
      <c r="M94">
        <v>53</v>
      </c>
    </row>
    <row r="95" spans="1:13">
      <c r="A95" t="s">
        <v>149</v>
      </c>
      <c r="B95" t="str">
        <f t="shared" si="4"/>
        <v>Mid-Level</v>
      </c>
      <c r="C95" t="str">
        <f t="shared" si="5"/>
        <v>Data Scientist</v>
      </c>
      <c r="D95">
        <v>4.7</v>
      </c>
      <c r="E95" t="s">
        <v>150</v>
      </c>
      <c r="F95" t="str">
        <f t="shared" si="6"/>
        <v>Landover</v>
      </c>
      <c r="G95" t="s">
        <v>22</v>
      </c>
      <c r="H95" t="s">
        <v>74</v>
      </c>
      <c r="I95">
        <v>79</v>
      </c>
      <c r="J95">
        <v>134</v>
      </c>
      <c r="K95">
        <v>106.5</v>
      </c>
      <c r="L95" t="str">
        <f t="shared" si="7"/>
        <v>$100–125K</v>
      </c>
      <c r="M95">
        <v>18</v>
      </c>
    </row>
    <row r="96" spans="1:13">
      <c r="A96" t="s">
        <v>151</v>
      </c>
      <c r="B96" t="str">
        <f t="shared" si="4"/>
        <v>Mid-Level</v>
      </c>
      <c r="C96" t="str">
        <f t="shared" si="5"/>
        <v>Data Analyst</v>
      </c>
      <c r="D96">
        <v>4.2</v>
      </c>
      <c r="E96" t="s">
        <v>152</v>
      </c>
      <c r="F96" t="str">
        <f t="shared" si="6"/>
        <v>Patuxent River</v>
      </c>
      <c r="G96" t="s">
        <v>19</v>
      </c>
      <c r="H96" t="s">
        <v>74</v>
      </c>
      <c r="I96">
        <v>52</v>
      </c>
      <c r="J96">
        <v>93</v>
      </c>
      <c r="K96">
        <v>72.5</v>
      </c>
      <c r="L96" t="str">
        <f t="shared" si="7"/>
        <v>$50–75K</v>
      </c>
      <c r="M96">
        <v>33</v>
      </c>
    </row>
    <row r="97" spans="1:13">
      <c r="A97" t="s">
        <v>84</v>
      </c>
      <c r="B97" t="str">
        <f t="shared" si="4"/>
        <v>Mid-Level</v>
      </c>
      <c r="C97" t="str">
        <f t="shared" si="5"/>
        <v>Data Scientist</v>
      </c>
      <c r="D97">
        <v>3.4</v>
      </c>
      <c r="E97" t="s">
        <v>153</v>
      </c>
      <c r="F97" t="str">
        <f t="shared" si="6"/>
        <v>Suitland</v>
      </c>
      <c r="G97" t="s">
        <v>14</v>
      </c>
      <c r="H97" t="s">
        <v>74</v>
      </c>
      <c r="I97">
        <v>55</v>
      </c>
      <c r="J97">
        <v>116</v>
      </c>
      <c r="K97">
        <v>85.5</v>
      </c>
      <c r="L97" t="str">
        <f t="shared" si="7"/>
        <v>$75–100K</v>
      </c>
      <c r="M97">
        <v>25</v>
      </c>
    </row>
    <row r="98" spans="1:13">
      <c r="A98" t="s">
        <v>7</v>
      </c>
      <c r="B98" t="str">
        <f t="shared" si="4"/>
        <v>Mid-Level</v>
      </c>
      <c r="C98" t="str">
        <f t="shared" si="5"/>
        <v>Data Scientist</v>
      </c>
      <c r="D98">
        <v>3.2</v>
      </c>
      <c r="E98" t="s">
        <v>154</v>
      </c>
      <c r="F98" t="str">
        <f t="shared" si="6"/>
        <v>McLean</v>
      </c>
      <c r="G98" t="s">
        <v>38</v>
      </c>
      <c r="H98" t="s">
        <v>156</v>
      </c>
      <c r="I98">
        <v>72</v>
      </c>
      <c r="J98">
        <v>123</v>
      </c>
      <c r="K98">
        <v>97.5</v>
      </c>
      <c r="L98" t="str">
        <f t="shared" si="7"/>
        <v>$75–100K</v>
      </c>
      <c r="M98">
        <v>63</v>
      </c>
    </row>
    <row r="99" spans="1:13">
      <c r="A99" t="s">
        <v>7</v>
      </c>
      <c r="B99" t="str">
        <f t="shared" si="4"/>
        <v>Mid-Level</v>
      </c>
      <c r="C99" t="str">
        <f t="shared" si="5"/>
        <v>Data Scientist</v>
      </c>
      <c r="D99">
        <v>3.9</v>
      </c>
      <c r="E99" t="s">
        <v>157</v>
      </c>
      <c r="F99" t="str">
        <f t="shared" si="6"/>
        <v>Fort Belvoir</v>
      </c>
      <c r="G99" t="s">
        <v>9</v>
      </c>
      <c r="H99" t="s">
        <v>74</v>
      </c>
      <c r="I99">
        <v>74</v>
      </c>
      <c r="J99">
        <v>124</v>
      </c>
      <c r="K99">
        <v>99</v>
      </c>
      <c r="L99" t="str">
        <f t="shared" si="7"/>
        <v>$75–100K</v>
      </c>
      <c r="M99">
        <v>11</v>
      </c>
    </row>
    <row r="100" spans="1:13">
      <c r="A100" t="s">
        <v>43</v>
      </c>
      <c r="B100" t="str">
        <f t="shared" si="4"/>
        <v>Mid-Level</v>
      </c>
      <c r="C100" t="str">
        <f t="shared" si="5"/>
        <v>Data Analyst</v>
      </c>
      <c r="D100">
        <v>3.1</v>
      </c>
      <c r="E100" t="s">
        <v>158</v>
      </c>
      <c r="F100" t="str">
        <f t="shared" si="6"/>
        <v>Milwaukee</v>
      </c>
      <c r="G100" t="s">
        <v>19</v>
      </c>
      <c r="H100" t="s">
        <v>55</v>
      </c>
      <c r="I100">
        <v>40</v>
      </c>
      <c r="J100">
        <v>73</v>
      </c>
      <c r="K100">
        <v>56.5</v>
      </c>
      <c r="L100" t="str">
        <f t="shared" si="7"/>
        <v>$50–75K</v>
      </c>
      <c r="M100">
        <v>20</v>
      </c>
    </row>
    <row r="101" spans="1:13">
      <c r="A101" t="s">
        <v>90</v>
      </c>
      <c r="B101" t="str">
        <f t="shared" si="4"/>
        <v>Senior</v>
      </c>
      <c r="C101" t="str">
        <f t="shared" si="5"/>
        <v>Data Scientist</v>
      </c>
      <c r="D101">
        <v>4.0999999999999996</v>
      </c>
      <c r="E101" t="s">
        <v>159</v>
      </c>
      <c r="F101" t="str">
        <f t="shared" si="6"/>
        <v>Silver Spring</v>
      </c>
      <c r="G101" s="1">
        <v>18264</v>
      </c>
      <c r="H101" t="s">
        <v>74</v>
      </c>
      <c r="I101">
        <v>102</v>
      </c>
      <c r="J101">
        <v>164</v>
      </c>
      <c r="K101">
        <v>133</v>
      </c>
      <c r="L101" t="str">
        <f t="shared" si="7"/>
        <v>$125–150K</v>
      </c>
      <c r="M101">
        <v>14</v>
      </c>
    </row>
    <row r="102" spans="1:13">
      <c r="A102" t="s">
        <v>7</v>
      </c>
      <c r="B102" t="str">
        <f t="shared" si="4"/>
        <v>Mid-Level</v>
      </c>
      <c r="C102" t="str">
        <f t="shared" si="5"/>
        <v>Data Scientist</v>
      </c>
      <c r="D102">
        <v>3.8</v>
      </c>
      <c r="E102" t="s">
        <v>21</v>
      </c>
      <c r="F102" t="str">
        <f t="shared" si="6"/>
        <v>New York</v>
      </c>
      <c r="G102" t="s">
        <v>22</v>
      </c>
      <c r="H102" t="s">
        <v>39</v>
      </c>
      <c r="I102">
        <v>89</v>
      </c>
      <c r="J102">
        <v>153</v>
      </c>
      <c r="K102">
        <v>121</v>
      </c>
      <c r="L102" t="str">
        <f t="shared" si="7"/>
        <v>$100–125K</v>
      </c>
      <c r="M102">
        <v>9</v>
      </c>
    </row>
    <row r="103" spans="1:13">
      <c r="A103" t="s">
        <v>7</v>
      </c>
      <c r="B103" t="str">
        <f t="shared" si="4"/>
        <v>Mid-Level</v>
      </c>
      <c r="C103" t="str">
        <f t="shared" si="5"/>
        <v>Data Scientist</v>
      </c>
      <c r="D103">
        <v>4.7</v>
      </c>
      <c r="E103" t="s">
        <v>160</v>
      </c>
      <c r="F103" t="str">
        <f t="shared" si="6"/>
        <v>Syracuse</v>
      </c>
      <c r="G103" t="s">
        <v>9</v>
      </c>
      <c r="H103" t="s">
        <v>17</v>
      </c>
      <c r="I103">
        <v>61</v>
      </c>
      <c r="J103">
        <v>110</v>
      </c>
      <c r="K103">
        <v>85.5</v>
      </c>
      <c r="L103" t="str">
        <f t="shared" si="7"/>
        <v>$75–100K</v>
      </c>
      <c r="M103">
        <v>29</v>
      </c>
    </row>
    <row r="104" spans="1:13">
      <c r="A104" t="s">
        <v>161</v>
      </c>
      <c r="B104" t="str">
        <f t="shared" si="4"/>
        <v>Mid-Level</v>
      </c>
      <c r="C104" t="str">
        <f t="shared" si="5"/>
        <v>Data Scientist</v>
      </c>
      <c r="D104">
        <v>4.3</v>
      </c>
      <c r="E104" t="s">
        <v>162</v>
      </c>
      <c r="F104" t="str">
        <f t="shared" si="6"/>
        <v>Houston</v>
      </c>
      <c r="G104" t="s">
        <v>19</v>
      </c>
      <c r="H104" t="s">
        <v>163</v>
      </c>
      <c r="I104">
        <v>65</v>
      </c>
      <c r="J104">
        <v>110</v>
      </c>
      <c r="K104">
        <v>87.5</v>
      </c>
      <c r="L104" t="str">
        <f t="shared" si="7"/>
        <v>$75–100K</v>
      </c>
      <c r="M104">
        <v>6</v>
      </c>
    </row>
    <row r="105" spans="1:13">
      <c r="A105" t="s">
        <v>78</v>
      </c>
      <c r="B105" t="str">
        <f t="shared" si="4"/>
        <v>Senior</v>
      </c>
      <c r="C105" t="str">
        <f t="shared" si="5"/>
        <v>Data Scientist</v>
      </c>
      <c r="D105">
        <v>4.2</v>
      </c>
      <c r="E105" t="s">
        <v>87</v>
      </c>
      <c r="F105" t="str">
        <f t="shared" si="6"/>
        <v>Washington</v>
      </c>
      <c r="G105" t="s">
        <v>19</v>
      </c>
      <c r="H105" t="s">
        <v>30</v>
      </c>
      <c r="I105">
        <v>200</v>
      </c>
      <c r="J105">
        <v>275</v>
      </c>
      <c r="K105">
        <v>237.5</v>
      </c>
      <c r="L105" t="str">
        <f t="shared" si="7"/>
        <v>&gt;$150K</v>
      </c>
      <c r="M105">
        <v>86</v>
      </c>
    </row>
    <row r="106" spans="1:13">
      <c r="A106" t="s">
        <v>80</v>
      </c>
      <c r="B106" t="str">
        <f t="shared" si="4"/>
        <v>Mid-Level</v>
      </c>
      <c r="C106" t="str">
        <f t="shared" si="5"/>
        <v>Data Engineer</v>
      </c>
      <c r="D106">
        <v>3.9</v>
      </c>
      <c r="E106" t="s">
        <v>164</v>
      </c>
      <c r="F106" t="str">
        <f t="shared" si="6"/>
        <v>Charlotte</v>
      </c>
      <c r="G106" t="s">
        <v>19</v>
      </c>
      <c r="H106" t="s">
        <v>74</v>
      </c>
      <c r="I106">
        <v>68</v>
      </c>
      <c r="J106">
        <v>123</v>
      </c>
      <c r="K106">
        <v>95.5</v>
      </c>
      <c r="L106" t="str">
        <f t="shared" si="7"/>
        <v>$75–100K</v>
      </c>
      <c r="M106">
        <v>24</v>
      </c>
    </row>
    <row r="107" spans="1:13">
      <c r="A107" t="s">
        <v>78</v>
      </c>
      <c r="B107" t="str">
        <f t="shared" si="4"/>
        <v>Senior</v>
      </c>
      <c r="C107" t="str">
        <f t="shared" si="5"/>
        <v>Data Scientist</v>
      </c>
      <c r="D107">
        <v>3.3</v>
      </c>
      <c r="E107" t="s">
        <v>165</v>
      </c>
      <c r="F107" t="str">
        <f t="shared" si="6"/>
        <v>Southfield</v>
      </c>
      <c r="G107" t="s">
        <v>14</v>
      </c>
      <c r="H107" t="s">
        <v>166</v>
      </c>
      <c r="I107">
        <v>80</v>
      </c>
      <c r="J107">
        <v>129</v>
      </c>
      <c r="K107">
        <v>104.5</v>
      </c>
      <c r="L107" t="str">
        <f t="shared" si="7"/>
        <v>$100–125K</v>
      </c>
      <c r="M107">
        <v>27</v>
      </c>
    </row>
    <row r="108" spans="1:13">
      <c r="A108" t="s">
        <v>167</v>
      </c>
      <c r="B108" t="str">
        <f t="shared" si="4"/>
        <v>Mid-Level</v>
      </c>
      <c r="C108" t="str">
        <f t="shared" si="5"/>
        <v>Data Analyst</v>
      </c>
      <c r="D108">
        <v>4.7</v>
      </c>
      <c r="E108" t="s">
        <v>168</v>
      </c>
      <c r="F108" t="str">
        <f t="shared" si="6"/>
        <v>Matawan</v>
      </c>
      <c r="G108" t="s">
        <v>25</v>
      </c>
      <c r="H108" t="s">
        <v>76</v>
      </c>
      <c r="I108">
        <v>41</v>
      </c>
      <c r="J108">
        <v>72</v>
      </c>
      <c r="K108">
        <v>56.5</v>
      </c>
      <c r="L108" t="str">
        <f t="shared" si="7"/>
        <v>$50–75K</v>
      </c>
      <c r="M108">
        <v>9</v>
      </c>
    </row>
    <row r="109" spans="1:13">
      <c r="A109" t="s">
        <v>169</v>
      </c>
      <c r="B109" t="str">
        <f t="shared" si="4"/>
        <v>Senior</v>
      </c>
      <c r="C109" t="str">
        <f t="shared" si="5"/>
        <v>Data Analyst</v>
      </c>
      <c r="D109">
        <v>4.3</v>
      </c>
      <c r="E109" t="s">
        <v>170</v>
      </c>
      <c r="F109" t="str">
        <f t="shared" si="6"/>
        <v>Phoenix</v>
      </c>
      <c r="G109" t="s">
        <v>25</v>
      </c>
      <c r="H109" t="s">
        <v>52</v>
      </c>
      <c r="I109">
        <v>39</v>
      </c>
      <c r="J109">
        <v>71</v>
      </c>
      <c r="K109">
        <v>55</v>
      </c>
      <c r="L109" t="str">
        <f t="shared" si="7"/>
        <v>$50–75K</v>
      </c>
      <c r="M109">
        <v>11</v>
      </c>
    </row>
    <row r="110" spans="1:13">
      <c r="A110" t="s">
        <v>31</v>
      </c>
      <c r="B110" t="str">
        <f t="shared" si="4"/>
        <v>Mid-Level</v>
      </c>
      <c r="C110" t="str">
        <f t="shared" si="5"/>
        <v>Research Scientist</v>
      </c>
      <c r="D110">
        <v>2.9</v>
      </c>
      <c r="E110" t="s">
        <v>94</v>
      </c>
      <c r="F110" t="str">
        <f t="shared" si="6"/>
        <v>Omaha</v>
      </c>
      <c r="G110" t="s">
        <v>19</v>
      </c>
      <c r="H110" t="s">
        <v>15</v>
      </c>
      <c r="I110">
        <v>38</v>
      </c>
      <c r="J110">
        <v>85</v>
      </c>
      <c r="K110">
        <v>61.5</v>
      </c>
      <c r="L110" t="str">
        <f t="shared" si="7"/>
        <v>$50–75K</v>
      </c>
      <c r="M110">
        <v>44</v>
      </c>
    </row>
    <row r="111" spans="1:13">
      <c r="A111" t="s">
        <v>7</v>
      </c>
      <c r="B111" t="str">
        <f t="shared" si="4"/>
        <v>Mid-Level</v>
      </c>
      <c r="C111" t="str">
        <f t="shared" si="5"/>
        <v>Data Scientist</v>
      </c>
      <c r="D111">
        <v>4.5</v>
      </c>
      <c r="E111" t="s">
        <v>34</v>
      </c>
      <c r="F111" t="str">
        <f t="shared" si="6"/>
        <v>San Francisco</v>
      </c>
      <c r="G111" t="s">
        <v>25</v>
      </c>
      <c r="H111" t="s">
        <v>76</v>
      </c>
      <c r="I111">
        <v>121</v>
      </c>
      <c r="J111">
        <v>193</v>
      </c>
      <c r="K111">
        <v>157</v>
      </c>
      <c r="L111" t="str">
        <f t="shared" si="7"/>
        <v>&gt;$150K</v>
      </c>
      <c r="M111">
        <v>15</v>
      </c>
    </row>
    <row r="112" spans="1:13">
      <c r="A112" t="s">
        <v>80</v>
      </c>
      <c r="B112" t="str">
        <f t="shared" si="4"/>
        <v>Mid-Level</v>
      </c>
      <c r="C112" t="str">
        <f t="shared" si="5"/>
        <v>Data Engineer</v>
      </c>
      <c r="D112">
        <v>3.4</v>
      </c>
      <c r="E112" t="s">
        <v>171</v>
      </c>
      <c r="F112" t="str">
        <f t="shared" si="6"/>
        <v>Lyndhurst</v>
      </c>
      <c r="G112" t="s">
        <v>25</v>
      </c>
      <c r="H112" t="s">
        <v>33</v>
      </c>
      <c r="I112">
        <v>54</v>
      </c>
      <c r="J112">
        <v>102</v>
      </c>
      <c r="K112">
        <v>78</v>
      </c>
      <c r="L112" t="str">
        <f t="shared" si="7"/>
        <v>$75–100K</v>
      </c>
      <c r="M112">
        <v>2</v>
      </c>
    </row>
    <row r="113" spans="1:13">
      <c r="A113" t="s">
        <v>7</v>
      </c>
      <c r="B113" t="str">
        <f t="shared" si="4"/>
        <v>Mid-Level</v>
      </c>
      <c r="C113" t="str">
        <f t="shared" si="5"/>
        <v>Data Scientist</v>
      </c>
      <c r="D113">
        <v>3.7</v>
      </c>
      <c r="E113" t="s">
        <v>44</v>
      </c>
      <c r="F113" t="str">
        <f t="shared" si="6"/>
        <v>Cambridge</v>
      </c>
      <c r="G113" t="s">
        <v>14</v>
      </c>
      <c r="H113" t="s">
        <v>45</v>
      </c>
      <c r="I113">
        <v>83</v>
      </c>
      <c r="J113">
        <v>144</v>
      </c>
      <c r="K113">
        <v>113.5</v>
      </c>
      <c r="L113" t="str">
        <f t="shared" si="7"/>
        <v>$100–125K</v>
      </c>
      <c r="M113">
        <v>240</v>
      </c>
    </row>
    <row r="114" spans="1:13">
      <c r="A114" t="s">
        <v>7</v>
      </c>
      <c r="B114" t="str">
        <f t="shared" si="4"/>
        <v>Mid-Level</v>
      </c>
      <c r="C114" t="str">
        <f t="shared" si="5"/>
        <v>Data Scientist</v>
      </c>
      <c r="D114">
        <v>4.5999999999999996</v>
      </c>
      <c r="E114" t="s">
        <v>21</v>
      </c>
      <c r="F114" t="str">
        <f t="shared" si="6"/>
        <v>New York</v>
      </c>
      <c r="G114" t="s">
        <v>22</v>
      </c>
      <c r="H114" t="s">
        <v>33</v>
      </c>
      <c r="I114">
        <v>120</v>
      </c>
      <c r="J114">
        <v>160</v>
      </c>
      <c r="K114">
        <v>140</v>
      </c>
      <c r="L114" t="str">
        <f t="shared" si="7"/>
        <v>$125–150K</v>
      </c>
      <c r="M114">
        <v>12</v>
      </c>
    </row>
    <row r="115" spans="1:13">
      <c r="A115" t="s">
        <v>7</v>
      </c>
      <c r="B115" t="str">
        <f t="shared" si="4"/>
        <v>Mid-Level</v>
      </c>
      <c r="C115" t="str">
        <f t="shared" si="5"/>
        <v>Data Scientist</v>
      </c>
      <c r="D115">
        <v>3.2</v>
      </c>
      <c r="E115" t="s">
        <v>34</v>
      </c>
      <c r="F115" t="str">
        <f t="shared" si="6"/>
        <v>San Francisco</v>
      </c>
      <c r="G115" t="s">
        <v>22</v>
      </c>
      <c r="H115" t="s">
        <v>52</v>
      </c>
      <c r="I115">
        <v>102</v>
      </c>
      <c r="J115">
        <v>163</v>
      </c>
      <c r="K115">
        <v>132.5</v>
      </c>
      <c r="L115" t="str">
        <f t="shared" si="7"/>
        <v>$125–150K</v>
      </c>
      <c r="M115">
        <v>6</v>
      </c>
    </row>
    <row r="116" spans="1:13">
      <c r="A116" t="s">
        <v>80</v>
      </c>
      <c r="B116" t="str">
        <f t="shared" si="4"/>
        <v>Mid-Level</v>
      </c>
      <c r="C116" t="str">
        <f t="shared" si="5"/>
        <v>Data Engineer</v>
      </c>
      <c r="D116">
        <v>4</v>
      </c>
      <c r="E116" t="s">
        <v>34</v>
      </c>
      <c r="F116" t="str">
        <f t="shared" si="6"/>
        <v>San Francisco</v>
      </c>
      <c r="G116" t="s">
        <v>38</v>
      </c>
      <c r="H116" t="s">
        <v>76</v>
      </c>
      <c r="I116">
        <v>76</v>
      </c>
      <c r="J116">
        <v>140</v>
      </c>
      <c r="K116">
        <v>108</v>
      </c>
      <c r="L116" t="str">
        <f t="shared" si="7"/>
        <v>$100–125K</v>
      </c>
      <c r="M116">
        <v>39</v>
      </c>
    </row>
    <row r="117" spans="1:13">
      <c r="A117" t="s">
        <v>173</v>
      </c>
      <c r="B117" t="str">
        <f t="shared" si="4"/>
        <v>Mid-Level</v>
      </c>
      <c r="C117" t="str">
        <f t="shared" si="5"/>
        <v>Data Scientist</v>
      </c>
      <c r="D117">
        <v>4.5999999999999996</v>
      </c>
      <c r="E117" t="s">
        <v>174</v>
      </c>
      <c r="F117" t="str">
        <f t="shared" si="6"/>
        <v>Atlanta</v>
      </c>
      <c r="G117" t="s">
        <v>9</v>
      </c>
      <c r="H117" t="s">
        <v>175</v>
      </c>
      <c r="I117">
        <v>60</v>
      </c>
      <c r="J117">
        <v>101</v>
      </c>
      <c r="K117">
        <v>80.5</v>
      </c>
      <c r="L117" t="str">
        <f t="shared" si="7"/>
        <v>$75–100K</v>
      </c>
      <c r="M117">
        <v>84</v>
      </c>
    </row>
    <row r="118" spans="1:13">
      <c r="A118" t="s">
        <v>7</v>
      </c>
      <c r="B118" t="str">
        <f t="shared" si="4"/>
        <v>Mid-Level</v>
      </c>
      <c r="C118" t="str">
        <f t="shared" si="5"/>
        <v>Data Scientist</v>
      </c>
      <c r="D118">
        <v>2.8</v>
      </c>
      <c r="E118" t="s">
        <v>176</v>
      </c>
      <c r="F118" t="str">
        <f t="shared" si="6"/>
        <v>Rockville</v>
      </c>
      <c r="G118" t="s">
        <v>25</v>
      </c>
      <c r="H118" t="s">
        <v>15</v>
      </c>
      <c r="I118">
        <v>82</v>
      </c>
      <c r="J118">
        <v>133</v>
      </c>
      <c r="K118">
        <v>107.5</v>
      </c>
      <c r="L118" t="str">
        <f t="shared" si="7"/>
        <v>$100–125K</v>
      </c>
      <c r="M118">
        <v>21</v>
      </c>
    </row>
    <row r="119" spans="1:13">
      <c r="A119" t="s">
        <v>80</v>
      </c>
      <c r="B119" t="str">
        <f t="shared" si="4"/>
        <v>Mid-Level</v>
      </c>
      <c r="C119" t="str">
        <f t="shared" si="5"/>
        <v>Data Engineer</v>
      </c>
      <c r="D119">
        <v>4.7</v>
      </c>
      <c r="E119" t="s">
        <v>177</v>
      </c>
      <c r="F119" t="str">
        <f t="shared" si="6"/>
        <v>Minneapolis</v>
      </c>
      <c r="G119" t="s">
        <v>22</v>
      </c>
      <c r="H119" t="s">
        <v>30</v>
      </c>
      <c r="I119">
        <v>65</v>
      </c>
      <c r="J119">
        <v>125</v>
      </c>
      <c r="K119">
        <v>95</v>
      </c>
      <c r="L119" t="str">
        <f t="shared" si="7"/>
        <v>$75–100K</v>
      </c>
      <c r="M119">
        <v>25</v>
      </c>
    </row>
    <row r="120" spans="1:13">
      <c r="A120" t="s">
        <v>178</v>
      </c>
      <c r="B120" t="str">
        <f t="shared" si="4"/>
        <v>Mid-Level</v>
      </c>
      <c r="C120" t="str">
        <f t="shared" si="5"/>
        <v>Data Scientist</v>
      </c>
      <c r="D120">
        <v>3</v>
      </c>
      <c r="E120" t="s">
        <v>179</v>
      </c>
      <c r="F120" t="str">
        <f t="shared" si="6"/>
        <v>Los Angeles</v>
      </c>
      <c r="G120" t="s">
        <v>19</v>
      </c>
      <c r="H120" t="s">
        <v>15</v>
      </c>
      <c r="I120">
        <v>91</v>
      </c>
      <c r="J120">
        <v>148</v>
      </c>
      <c r="K120">
        <v>119.5</v>
      </c>
      <c r="L120" t="str">
        <f t="shared" si="7"/>
        <v>$100–125K</v>
      </c>
      <c r="M120">
        <v>24</v>
      </c>
    </row>
    <row r="121" spans="1:13">
      <c r="A121" t="s">
        <v>180</v>
      </c>
      <c r="B121" t="str">
        <f t="shared" si="4"/>
        <v>Senior</v>
      </c>
      <c r="C121" t="str">
        <f t="shared" si="5"/>
        <v>Data Engineer</v>
      </c>
      <c r="D121">
        <v>3.2</v>
      </c>
      <c r="E121" t="s">
        <v>164</v>
      </c>
      <c r="F121" t="str">
        <f t="shared" si="6"/>
        <v>Charlotte</v>
      </c>
      <c r="G121" t="s">
        <v>19</v>
      </c>
      <c r="H121" t="s">
        <v>23</v>
      </c>
      <c r="I121">
        <v>95</v>
      </c>
      <c r="J121">
        <v>173</v>
      </c>
      <c r="K121">
        <v>134</v>
      </c>
      <c r="L121" t="str">
        <f t="shared" si="7"/>
        <v>$125–150K</v>
      </c>
      <c r="M121">
        <v>21</v>
      </c>
    </row>
    <row r="122" spans="1:13">
      <c r="A122" t="s">
        <v>7</v>
      </c>
      <c r="B122" t="str">
        <f t="shared" si="4"/>
        <v>Mid-Level</v>
      </c>
      <c r="C122" t="str">
        <f t="shared" si="5"/>
        <v>Data Scientist</v>
      </c>
      <c r="D122">
        <v>4.4000000000000004</v>
      </c>
      <c r="E122" t="s">
        <v>44</v>
      </c>
      <c r="F122" t="str">
        <f t="shared" si="6"/>
        <v>Cambridge</v>
      </c>
      <c r="G122" t="s">
        <v>25</v>
      </c>
      <c r="H122" t="s">
        <v>52</v>
      </c>
      <c r="I122">
        <v>77</v>
      </c>
      <c r="J122">
        <v>124</v>
      </c>
      <c r="K122">
        <v>100.5</v>
      </c>
      <c r="L122" t="str">
        <f t="shared" si="7"/>
        <v>$100–125K</v>
      </c>
      <c r="M122">
        <v>22</v>
      </c>
    </row>
    <row r="123" spans="1:13">
      <c r="A123" t="s">
        <v>7</v>
      </c>
      <c r="B123" t="str">
        <f t="shared" si="4"/>
        <v>Mid-Level</v>
      </c>
      <c r="C123" t="str">
        <f t="shared" si="5"/>
        <v>Data Scientist</v>
      </c>
      <c r="D123">
        <v>3.5</v>
      </c>
      <c r="E123" t="s">
        <v>109</v>
      </c>
      <c r="F123" t="str">
        <f t="shared" si="6"/>
        <v>Cincinnati</v>
      </c>
      <c r="G123" t="s">
        <v>19</v>
      </c>
      <c r="H123" t="s">
        <v>181</v>
      </c>
      <c r="I123">
        <v>80</v>
      </c>
      <c r="J123">
        <v>135</v>
      </c>
      <c r="K123">
        <v>107.5</v>
      </c>
      <c r="L123" t="str">
        <f t="shared" si="7"/>
        <v>$100–125K</v>
      </c>
      <c r="M123">
        <v>143</v>
      </c>
    </row>
    <row r="124" spans="1:13">
      <c r="A124" t="s">
        <v>80</v>
      </c>
      <c r="B124" t="str">
        <f t="shared" si="4"/>
        <v>Mid-Level</v>
      </c>
      <c r="C124" t="str">
        <f t="shared" si="5"/>
        <v>Data Engineer</v>
      </c>
      <c r="D124">
        <v>4</v>
      </c>
      <c r="E124" t="s">
        <v>87</v>
      </c>
      <c r="F124" t="str">
        <f t="shared" si="6"/>
        <v>Washington</v>
      </c>
      <c r="G124" t="s">
        <v>22</v>
      </c>
      <c r="H124" t="s">
        <v>33</v>
      </c>
      <c r="I124">
        <v>85</v>
      </c>
      <c r="J124">
        <v>159</v>
      </c>
      <c r="K124">
        <v>122</v>
      </c>
      <c r="L124" t="str">
        <f t="shared" si="7"/>
        <v>$100–125K</v>
      </c>
      <c r="M124">
        <v>6</v>
      </c>
    </row>
    <row r="125" spans="1:13">
      <c r="A125" t="s">
        <v>80</v>
      </c>
      <c r="B125" t="str">
        <f t="shared" si="4"/>
        <v>Mid-Level</v>
      </c>
      <c r="C125" t="str">
        <f t="shared" si="5"/>
        <v>Data Engineer</v>
      </c>
      <c r="D125">
        <v>4.3</v>
      </c>
      <c r="E125" t="s">
        <v>59</v>
      </c>
      <c r="F125" t="str">
        <f t="shared" si="6"/>
        <v>Chicago</v>
      </c>
      <c r="G125" t="s">
        <v>19</v>
      </c>
      <c r="H125" t="s">
        <v>26</v>
      </c>
      <c r="I125">
        <v>80</v>
      </c>
      <c r="J125">
        <v>105</v>
      </c>
      <c r="K125">
        <v>92.5</v>
      </c>
      <c r="L125" t="str">
        <f t="shared" si="7"/>
        <v>$75–100K</v>
      </c>
      <c r="M125">
        <v>28</v>
      </c>
    </row>
    <row r="126" spans="1:13">
      <c r="A126" t="s">
        <v>43</v>
      </c>
      <c r="B126" t="str">
        <f t="shared" si="4"/>
        <v>Mid-Level</v>
      </c>
      <c r="C126" t="str">
        <f t="shared" si="5"/>
        <v>Data Analyst</v>
      </c>
      <c r="D126">
        <v>2.2999999999999998</v>
      </c>
      <c r="E126" t="s">
        <v>13</v>
      </c>
      <c r="F126" t="str">
        <f t="shared" si="6"/>
        <v>Baltimore</v>
      </c>
      <c r="G126" t="s">
        <v>9</v>
      </c>
      <c r="H126" t="s">
        <v>39</v>
      </c>
      <c r="I126">
        <v>43</v>
      </c>
      <c r="J126">
        <v>81</v>
      </c>
      <c r="K126">
        <v>62</v>
      </c>
      <c r="L126" t="str">
        <f t="shared" si="7"/>
        <v>$50–75K</v>
      </c>
      <c r="M126">
        <v>35</v>
      </c>
    </row>
    <row r="127" spans="1:13">
      <c r="A127" t="s">
        <v>182</v>
      </c>
      <c r="B127" t="str">
        <f t="shared" si="4"/>
        <v>Mid-Level</v>
      </c>
      <c r="C127" t="str">
        <f t="shared" si="5"/>
        <v>Data Scientist</v>
      </c>
      <c r="D127">
        <v>4</v>
      </c>
      <c r="E127" t="s">
        <v>183</v>
      </c>
      <c r="F127" t="str">
        <f t="shared" si="6"/>
        <v>Alabaster</v>
      </c>
      <c r="G127" t="s">
        <v>22</v>
      </c>
      <c r="H127" t="s">
        <v>184</v>
      </c>
      <c r="I127">
        <v>29</v>
      </c>
      <c r="J127">
        <v>50</v>
      </c>
      <c r="K127">
        <v>39.5</v>
      </c>
      <c r="L127" t="str">
        <f t="shared" si="7"/>
        <v>&lt;$50K</v>
      </c>
      <c r="M127">
        <v>21</v>
      </c>
    </row>
    <row r="128" spans="1:13">
      <c r="A128" t="s">
        <v>7</v>
      </c>
      <c r="B128" t="str">
        <f t="shared" si="4"/>
        <v>Mid-Level</v>
      </c>
      <c r="C128" t="str">
        <f t="shared" si="5"/>
        <v>Data Scientist</v>
      </c>
      <c r="D128">
        <v>3.6</v>
      </c>
      <c r="E128" t="s">
        <v>185</v>
      </c>
      <c r="F128" t="str">
        <f t="shared" si="6"/>
        <v>Santa Fe Springs</v>
      </c>
      <c r="G128" t="s">
        <v>19</v>
      </c>
      <c r="H128" t="s">
        <v>99</v>
      </c>
      <c r="I128">
        <v>82</v>
      </c>
      <c r="J128">
        <v>133</v>
      </c>
      <c r="K128">
        <v>107.5</v>
      </c>
      <c r="L128" t="str">
        <f t="shared" si="7"/>
        <v>$100–125K</v>
      </c>
      <c r="M128">
        <v>55</v>
      </c>
    </row>
    <row r="129" spans="1:13">
      <c r="A129" t="s">
        <v>186</v>
      </c>
      <c r="B129" t="str">
        <f t="shared" si="4"/>
        <v>Management</v>
      </c>
      <c r="C129" t="str">
        <f t="shared" si="5"/>
        <v>DS Manager</v>
      </c>
      <c r="D129">
        <v>3.8</v>
      </c>
      <c r="E129" t="s">
        <v>187</v>
      </c>
      <c r="F129" t="str">
        <f t="shared" si="6"/>
        <v>Kansas City</v>
      </c>
      <c r="G129" t="s">
        <v>9</v>
      </c>
      <c r="H129" t="s">
        <v>121</v>
      </c>
      <c r="I129">
        <v>26</v>
      </c>
      <c r="J129">
        <v>55</v>
      </c>
      <c r="K129">
        <v>40.5</v>
      </c>
      <c r="L129" t="str">
        <f t="shared" si="7"/>
        <v>&lt;$50K</v>
      </c>
      <c r="M129">
        <v>4</v>
      </c>
    </row>
    <row r="130" spans="1:13">
      <c r="A130" t="s">
        <v>188</v>
      </c>
      <c r="B130" t="str">
        <f t="shared" si="4"/>
        <v>Senior</v>
      </c>
      <c r="C130" t="str">
        <f t="shared" si="5"/>
        <v>ML Engineer</v>
      </c>
      <c r="D130">
        <v>3.7</v>
      </c>
      <c r="E130" t="s">
        <v>189</v>
      </c>
      <c r="F130" t="str">
        <f t="shared" si="6"/>
        <v>Ashburn</v>
      </c>
      <c r="G130" t="s">
        <v>14</v>
      </c>
      <c r="H130" t="s">
        <v>74</v>
      </c>
      <c r="I130">
        <v>61</v>
      </c>
      <c r="J130">
        <v>118</v>
      </c>
      <c r="K130">
        <v>89.5</v>
      </c>
      <c r="L130" t="str">
        <f t="shared" si="7"/>
        <v>$75–100K</v>
      </c>
      <c r="M130">
        <v>63</v>
      </c>
    </row>
    <row r="131" spans="1:13">
      <c r="A131" t="s">
        <v>7</v>
      </c>
      <c r="B131" t="str">
        <f t="shared" ref="B131:B194" si="8">IF(OR(ISNUMBER(SEARCH("Senior",A131)),ISNUMBER(SEARCH("Sr",A131)),ISNUMBER(SEARCH("Lead",A131)),ISNUMBER(SEARCH("Principal",A131))),"Senior",IF(OR(ISNUMBER(SEARCH("Junior",A131)),ISNUMBER(SEARCH("Jr",A131)),ISNUMBER(SEARCH("Entry",A131)),ISNUMBER(SEARCH("Associate",A131))),"Junior",IF(OR(ISNUMBER(SEARCH("Manager",A131)),ISNUMBER(SEARCH("Director",A131)),ISNUMBER(SEARCH("Head",A131)),ISNUMBER(SEARCH("VP",A131))),"Management","Mid-Level")))</f>
        <v>Mid-Level</v>
      </c>
      <c r="C131" t="str">
        <f t="shared" ref="C131:C194" si="9">IF(ISNUMBER(SEARCH("Machine Learn",A131)),"ML Engineer",IF(ISNUMBER(SEARCH("Data Engineer",A131)),"Data Engineer",IF(ISNUMBER(SEARCH("Data Analyst",A131)),"Data Analyst",IF(ISNUMBER(SEARCH("Business Analyst",A131)),"Business Analyst",IF(ISNUMBER(SEARCH("Research",A131)),"Research Scientist",IF(ISNUMBER(SEARCH("Manager",A131)),"DS Manager",IF(ISNUMBER(SEARCH("Director",A131)),"Director/VP","Data Scientist")))))))</f>
        <v>Data Scientist</v>
      </c>
      <c r="D131">
        <v>4.4000000000000004</v>
      </c>
      <c r="E131" t="s">
        <v>59</v>
      </c>
      <c r="F131" t="str">
        <f t="shared" ref="F131:F194" si="10">IFERROR(LEFT(E131, FIND(",", E131)-1), E131)</f>
        <v>Chicago</v>
      </c>
      <c r="G131" t="s">
        <v>25</v>
      </c>
      <c r="H131" t="s">
        <v>30</v>
      </c>
      <c r="I131">
        <v>60</v>
      </c>
      <c r="J131">
        <v>102</v>
      </c>
      <c r="K131">
        <v>81</v>
      </c>
      <c r="L131" t="str">
        <f t="shared" ref="L131:L194" si="11">IF(K131&lt;50,"&lt;$50K",IF(K131&lt;75,"$50–75K",IF(K131&lt;100,"$75–100K",IF(K131&lt;125,"$100–125K",IF(K131&lt;150,"$125–150K","&gt;$150K")))))</f>
        <v>$75–100K</v>
      </c>
      <c r="M131">
        <v>13</v>
      </c>
    </row>
    <row r="132" spans="1:13">
      <c r="A132" t="s">
        <v>78</v>
      </c>
      <c r="B132" t="str">
        <f t="shared" si="8"/>
        <v>Senior</v>
      </c>
      <c r="C132" t="str">
        <f t="shared" si="9"/>
        <v>Data Scientist</v>
      </c>
      <c r="D132">
        <v>4</v>
      </c>
      <c r="E132" t="s">
        <v>37</v>
      </c>
      <c r="F132" t="str">
        <f t="shared" si="10"/>
        <v>Herndon</v>
      </c>
      <c r="G132" t="s">
        <v>9</v>
      </c>
      <c r="H132" t="s">
        <v>52</v>
      </c>
      <c r="I132">
        <v>112</v>
      </c>
      <c r="J132">
        <v>182</v>
      </c>
      <c r="K132">
        <v>147</v>
      </c>
      <c r="L132" t="str">
        <f t="shared" si="11"/>
        <v>$125–150K</v>
      </c>
      <c r="M132">
        <v>9</v>
      </c>
    </row>
    <row r="133" spans="1:13">
      <c r="A133" t="s">
        <v>7</v>
      </c>
      <c r="B133" t="str">
        <f t="shared" si="8"/>
        <v>Mid-Level</v>
      </c>
      <c r="C133" t="str">
        <f t="shared" si="9"/>
        <v>Data Scientist</v>
      </c>
      <c r="D133">
        <v>3.2</v>
      </c>
      <c r="E133" t="s">
        <v>190</v>
      </c>
      <c r="F133" t="str">
        <f t="shared" si="10"/>
        <v>Fort Worth</v>
      </c>
      <c r="G133" t="s">
        <v>19</v>
      </c>
      <c r="H133" t="s">
        <v>191</v>
      </c>
      <c r="I133">
        <v>64</v>
      </c>
      <c r="J133">
        <v>106</v>
      </c>
      <c r="K133">
        <v>85</v>
      </c>
      <c r="L133" t="str">
        <f t="shared" si="11"/>
        <v>$75–100K</v>
      </c>
      <c r="M133">
        <v>63</v>
      </c>
    </row>
    <row r="134" spans="1:13">
      <c r="A134" t="s">
        <v>192</v>
      </c>
      <c r="B134" t="str">
        <f t="shared" si="8"/>
        <v>Junior</v>
      </c>
      <c r="C134" t="str">
        <f t="shared" si="9"/>
        <v>Data Scientist</v>
      </c>
      <c r="D134">
        <v>2.9</v>
      </c>
      <c r="E134" t="s">
        <v>193</v>
      </c>
      <c r="F134" t="str">
        <f t="shared" si="10"/>
        <v>Valencia</v>
      </c>
      <c r="G134" t="s">
        <v>19</v>
      </c>
      <c r="H134" t="s">
        <v>86</v>
      </c>
      <c r="I134">
        <v>51</v>
      </c>
      <c r="J134">
        <v>112</v>
      </c>
      <c r="K134">
        <v>81.5</v>
      </c>
      <c r="L134" t="str">
        <f t="shared" si="11"/>
        <v>$75–100K</v>
      </c>
      <c r="M134">
        <v>50</v>
      </c>
    </row>
    <row r="135" spans="1:13">
      <c r="A135" t="s">
        <v>194</v>
      </c>
      <c r="B135" t="str">
        <f t="shared" si="8"/>
        <v>Mid-Level</v>
      </c>
      <c r="C135" t="str">
        <f t="shared" si="9"/>
        <v>Data Scientist</v>
      </c>
      <c r="D135">
        <v>3.8</v>
      </c>
      <c r="E135" t="s">
        <v>195</v>
      </c>
      <c r="F135" t="str">
        <f t="shared" si="10"/>
        <v>Novato</v>
      </c>
      <c r="G135" t="s">
        <v>19</v>
      </c>
      <c r="H135" t="s">
        <v>45</v>
      </c>
      <c r="I135">
        <v>113</v>
      </c>
      <c r="J135">
        <v>223</v>
      </c>
      <c r="K135">
        <v>168</v>
      </c>
      <c r="L135" t="str">
        <f t="shared" si="11"/>
        <v>&gt;$150K</v>
      </c>
      <c r="M135">
        <v>24</v>
      </c>
    </row>
    <row r="136" spans="1:13">
      <c r="A136" t="s">
        <v>196</v>
      </c>
      <c r="B136" t="str">
        <f t="shared" si="8"/>
        <v>Mid-Level</v>
      </c>
      <c r="C136" t="str">
        <f t="shared" si="9"/>
        <v>ML Engineer</v>
      </c>
      <c r="D136">
        <v>4.3</v>
      </c>
      <c r="E136" t="s">
        <v>197</v>
      </c>
      <c r="F136" t="str">
        <f t="shared" si="10"/>
        <v>Aurora</v>
      </c>
      <c r="G136" s="1">
        <v>18264</v>
      </c>
      <c r="H136" t="s">
        <v>10</v>
      </c>
      <c r="I136">
        <v>72</v>
      </c>
      <c r="J136">
        <v>129</v>
      </c>
      <c r="K136">
        <v>100.5</v>
      </c>
      <c r="L136" t="str">
        <f t="shared" si="11"/>
        <v>$100–125K</v>
      </c>
      <c r="M136">
        <v>14</v>
      </c>
    </row>
    <row r="137" spans="1:13">
      <c r="A137" t="s">
        <v>198</v>
      </c>
      <c r="B137" t="str">
        <f t="shared" si="8"/>
        <v>Mid-Level</v>
      </c>
      <c r="C137" t="str">
        <f t="shared" si="9"/>
        <v>Data Scientist</v>
      </c>
      <c r="D137">
        <v>3.4</v>
      </c>
      <c r="E137" t="s">
        <v>21</v>
      </c>
      <c r="F137" t="str">
        <f t="shared" si="10"/>
        <v>New York</v>
      </c>
      <c r="G137" t="s">
        <v>19</v>
      </c>
      <c r="H137" t="s">
        <v>30</v>
      </c>
      <c r="I137">
        <v>71</v>
      </c>
      <c r="J137">
        <v>123</v>
      </c>
      <c r="K137">
        <v>97</v>
      </c>
      <c r="L137" t="str">
        <f t="shared" si="11"/>
        <v>$75–100K</v>
      </c>
      <c r="M137">
        <v>78</v>
      </c>
    </row>
    <row r="138" spans="1:13">
      <c r="A138" t="s">
        <v>7</v>
      </c>
      <c r="B138" t="str">
        <f t="shared" si="8"/>
        <v>Mid-Level</v>
      </c>
      <c r="C138" t="str">
        <f t="shared" si="9"/>
        <v>Data Scientist</v>
      </c>
      <c r="D138">
        <v>4.0999999999999996</v>
      </c>
      <c r="E138" t="s">
        <v>36</v>
      </c>
      <c r="F138" t="str">
        <f t="shared" si="10"/>
        <v>Chantilly</v>
      </c>
      <c r="G138" t="s">
        <v>38</v>
      </c>
      <c r="H138" t="s">
        <v>39</v>
      </c>
      <c r="I138">
        <v>64</v>
      </c>
      <c r="J138">
        <v>106</v>
      </c>
      <c r="K138">
        <v>85</v>
      </c>
      <c r="L138" t="str">
        <f t="shared" si="11"/>
        <v>$75–100K</v>
      </c>
      <c r="M138">
        <v>53</v>
      </c>
    </row>
    <row r="139" spans="1:13">
      <c r="A139" t="s">
        <v>50</v>
      </c>
      <c r="B139" t="str">
        <f t="shared" si="8"/>
        <v>Mid-Level</v>
      </c>
      <c r="C139" t="str">
        <f t="shared" si="9"/>
        <v>Data Scientist</v>
      </c>
      <c r="D139">
        <v>4.3</v>
      </c>
      <c r="E139" t="s">
        <v>51</v>
      </c>
      <c r="F139" t="str">
        <f t="shared" si="10"/>
        <v>Mountain View</v>
      </c>
      <c r="G139" t="s">
        <v>25</v>
      </c>
      <c r="H139" t="s">
        <v>52</v>
      </c>
      <c r="I139">
        <v>118</v>
      </c>
      <c r="J139">
        <v>189</v>
      </c>
      <c r="K139">
        <v>153.5</v>
      </c>
      <c r="L139" t="str">
        <f t="shared" si="11"/>
        <v>&gt;$150K</v>
      </c>
      <c r="M139">
        <v>10</v>
      </c>
    </row>
    <row r="140" spans="1:13">
      <c r="A140" t="s">
        <v>80</v>
      </c>
      <c r="B140" t="str">
        <f t="shared" si="8"/>
        <v>Mid-Level</v>
      </c>
      <c r="C140" t="str">
        <f t="shared" si="9"/>
        <v>Data Engineer</v>
      </c>
      <c r="D140">
        <v>5</v>
      </c>
      <c r="E140" t="s">
        <v>199</v>
      </c>
      <c r="F140" t="str">
        <f t="shared" si="10"/>
        <v>Tampa</v>
      </c>
      <c r="G140" t="s">
        <v>22</v>
      </c>
      <c r="H140" t="s">
        <v>74</v>
      </c>
      <c r="I140">
        <v>120</v>
      </c>
      <c r="J140">
        <v>145</v>
      </c>
      <c r="K140">
        <v>132.5</v>
      </c>
      <c r="L140" t="str">
        <f t="shared" si="11"/>
        <v>$125–150K</v>
      </c>
      <c r="M140">
        <v>4</v>
      </c>
    </row>
    <row r="141" spans="1:13">
      <c r="A141" t="s">
        <v>80</v>
      </c>
      <c r="B141" t="str">
        <f t="shared" si="8"/>
        <v>Mid-Level</v>
      </c>
      <c r="C141" t="str">
        <f t="shared" si="9"/>
        <v>Data Engineer</v>
      </c>
      <c r="D141">
        <v>4.3</v>
      </c>
      <c r="E141" t="s">
        <v>59</v>
      </c>
      <c r="F141" t="str">
        <f t="shared" si="10"/>
        <v>Chicago</v>
      </c>
      <c r="G141" t="s">
        <v>22</v>
      </c>
      <c r="H141" t="s">
        <v>76</v>
      </c>
      <c r="I141">
        <v>80</v>
      </c>
      <c r="J141">
        <v>120</v>
      </c>
      <c r="K141">
        <v>100</v>
      </c>
      <c r="L141" t="str">
        <f t="shared" si="11"/>
        <v>$100–125K</v>
      </c>
      <c r="M141">
        <v>13</v>
      </c>
    </row>
    <row r="142" spans="1:13">
      <c r="A142" t="s">
        <v>200</v>
      </c>
      <c r="B142" t="str">
        <f t="shared" si="8"/>
        <v>Senior</v>
      </c>
      <c r="C142" t="str">
        <f t="shared" si="9"/>
        <v>Data Scientist</v>
      </c>
      <c r="D142">
        <v>3.7</v>
      </c>
      <c r="E142" t="s">
        <v>54</v>
      </c>
      <c r="F142" t="str">
        <f t="shared" si="10"/>
        <v>Denver</v>
      </c>
      <c r="G142" t="s">
        <v>25</v>
      </c>
      <c r="H142" t="s">
        <v>201</v>
      </c>
      <c r="I142">
        <v>80</v>
      </c>
      <c r="J142">
        <v>130</v>
      </c>
      <c r="K142">
        <v>105</v>
      </c>
      <c r="L142" t="str">
        <f t="shared" si="11"/>
        <v>$100–125K</v>
      </c>
      <c r="M142">
        <v>10</v>
      </c>
    </row>
    <row r="143" spans="1:13">
      <c r="A143" t="s">
        <v>202</v>
      </c>
      <c r="B143" t="str">
        <f t="shared" si="8"/>
        <v>Mid-Level</v>
      </c>
      <c r="C143" t="str">
        <f t="shared" si="9"/>
        <v>Data Engineer</v>
      </c>
      <c r="D143">
        <v>4.2</v>
      </c>
      <c r="E143" t="s">
        <v>203</v>
      </c>
      <c r="F143" t="str">
        <f t="shared" si="10"/>
        <v>Riverton</v>
      </c>
      <c r="G143" t="s">
        <v>14</v>
      </c>
      <c r="H143" t="s">
        <v>205</v>
      </c>
      <c r="I143">
        <v>59</v>
      </c>
      <c r="J143">
        <v>115</v>
      </c>
      <c r="K143">
        <v>87</v>
      </c>
      <c r="L143" t="str">
        <f t="shared" si="11"/>
        <v>$75–100K</v>
      </c>
      <c r="M143">
        <v>-1</v>
      </c>
    </row>
    <row r="144" spans="1:13">
      <c r="A144" t="s">
        <v>206</v>
      </c>
      <c r="B144" t="str">
        <f t="shared" si="8"/>
        <v>Mid-Level</v>
      </c>
      <c r="C144" t="str">
        <f t="shared" si="9"/>
        <v>Data Analyst</v>
      </c>
      <c r="D144">
        <v>4.3</v>
      </c>
      <c r="E144" t="s">
        <v>34</v>
      </c>
      <c r="F144" t="str">
        <f t="shared" si="10"/>
        <v>San Francisco</v>
      </c>
      <c r="G144" t="s">
        <v>22</v>
      </c>
      <c r="H144" t="s">
        <v>26</v>
      </c>
      <c r="I144">
        <v>71</v>
      </c>
      <c r="J144">
        <v>136</v>
      </c>
      <c r="K144">
        <v>103.5</v>
      </c>
      <c r="L144" t="str">
        <f t="shared" si="11"/>
        <v>$100–125K</v>
      </c>
      <c r="M144">
        <v>8</v>
      </c>
    </row>
    <row r="145" spans="1:13">
      <c r="A145" t="s">
        <v>207</v>
      </c>
      <c r="B145" t="str">
        <f t="shared" si="8"/>
        <v>Senior</v>
      </c>
      <c r="C145" t="str">
        <f t="shared" si="9"/>
        <v>Research Scientist</v>
      </c>
      <c r="D145">
        <v>2.6</v>
      </c>
      <c r="E145" t="s">
        <v>133</v>
      </c>
      <c r="F145" t="str">
        <f t="shared" si="10"/>
        <v>Pittsburgh</v>
      </c>
      <c r="G145" t="s">
        <v>9</v>
      </c>
      <c r="H145" t="s">
        <v>208</v>
      </c>
      <c r="I145">
        <v>81</v>
      </c>
      <c r="J145">
        <v>167</v>
      </c>
      <c r="K145">
        <v>124</v>
      </c>
      <c r="L145" t="str">
        <f t="shared" si="11"/>
        <v>$100–125K</v>
      </c>
      <c r="M145">
        <v>37</v>
      </c>
    </row>
    <row r="146" spans="1:13">
      <c r="A146" t="s">
        <v>209</v>
      </c>
      <c r="B146" t="str">
        <f t="shared" si="8"/>
        <v>Mid-Level</v>
      </c>
      <c r="C146" t="str">
        <f t="shared" si="9"/>
        <v>Data Scientist</v>
      </c>
      <c r="D146">
        <v>3.8</v>
      </c>
      <c r="E146" t="s">
        <v>18</v>
      </c>
      <c r="F146" t="str">
        <f t="shared" si="10"/>
        <v>Richland</v>
      </c>
      <c r="G146" t="s">
        <v>19</v>
      </c>
      <c r="H146" t="s">
        <v>20</v>
      </c>
      <c r="I146">
        <v>49</v>
      </c>
      <c r="J146">
        <v>85</v>
      </c>
      <c r="K146">
        <v>67</v>
      </c>
      <c r="L146" t="str">
        <f t="shared" si="11"/>
        <v>$50–75K</v>
      </c>
      <c r="M146">
        <v>56</v>
      </c>
    </row>
    <row r="147" spans="1:13">
      <c r="A147" t="s">
        <v>80</v>
      </c>
      <c r="B147" t="str">
        <f t="shared" si="8"/>
        <v>Mid-Level</v>
      </c>
      <c r="C147" t="str">
        <f t="shared" si="9"/>
        <v>Data Engineer</v>
      </c>
      <c r="D147">
        <v>3.9</v>
      </c>
      <c r="E147" t="s">
        <v>87</v>
      </c>
      <c r="F147" t="str">
        <f t="shared" si="10"/>
        <v>Washington</v>
      </c>
      <c r="G147" t="s">
        <v>14</v>
      </c>
      <c r="H147" t="s">
        <v>74</v>
      </c>
      <c r="I147">
        <v>60</v>
      </c>
      <c r="J147">
        <v>114</v>
      </c>
      <c r="K147">
        <v>87</v>
      </c>
      <c r="L147" t="str">
        <f t="shared" si="11"/>
        <v>$75–100K</v>
      </c>
      <c r="M147">
        <v>21</v>
      </c>
    </row>
    <row r="148" spans="1:13">
      <c r="A148" t="s">
        <v>210</v>
      </c>
      <c r="B148" t="str">
        <f t="shared" si="8"/>
        <v>Mid-Level</v>
      </c>
      <c r="C148" t="str">
        <f t="shared" si="9"/>
        <v>Data Scientist</v>
      </c>
      <c r="D148">
        <v>4.3</v>
      </c>
      <c r="E148" t="s">
        <v>59</v>
      </c>
      <c r="F148" t="str">
        <f t="shared" si="10"/>
        <v>Chicago</v>
      </c>
      <c r="G148" t="s">
        <v>25</v>
      </c>
      <c r="H148" t="s">
        <v>52</v>
      </c>
      <c r="I148">
        <v>71</v>
      </c>
      <c r="J148">
        <v>204</v>
      </c>
      <c r="K148">
        <v>137.5</v>
      </c>
      <c r="L148" t="str">
        <f t="shared" si="11"/>
        <v>$125–150K</v>
      </c>
      <c r="M148">
        <v>10</v>
      </c>
    </row>
    <row r="149" spans="1:13">
      <c r="A149" t="s">
        <v>90</v>
      </c>
      <c r="B149" t="str">
        <f t="shared" si="8"/>
        <v>Senior</v>
      </c>
      <c r="C149" t="str">
        <f t="shared" si="9"/>
        <v>Data Scientist</v>
      </c>
      <c r="D149">
        <v>3.8</v>
      </c>
      <c r="E149" t="s">
        <v>109</v>
      </c>
      <c r="F149" t="str">
        <f t="shared" si="10"/>
        <v>Cincinnati</v>
      </c>
      <c r="G149" t="s">
        <v>25</v>
      </c>
      <c r="H149" t="s">
        <v>23</v>
      </c>
      <c r="I149">
        <v>75</v>
      </c>
      <c r="J149">
        <v>125</v>
      </c>
      <c r="K149">
        <v>100</v>
      </c>
      <c r="L149" t="str">
        <f t="shared" si="11"/>
        <v>$100–125K</v>
      </c>
      <c r="M149">
        <v>34</v>
      </c>
    </row>
    <row r="150" spans="1:13">
      <c r="A150" t="s">
        <v>211</v>
      </c>
      <c r="B150" t="str">
        <f t="shared" si="8"/>
        <v>Mid-Level</v>
      </c>
      <c r="C150" t="str">
        <f t="shared" si="9"/>
        <v>Data Engineer</v>
      </c>
      <c r="D150">
        <v>3.8</v>
      </c>
      <c r="E150" t="s">
        <v>212</v>
      </c>
      <c r="F150" t="str">
        <f t="shared" si="10"/>
        <v>Chattanooga</v>
      </c>
      <c r="G150" t="s">
        <v>38</v>
      </c>
      <c r="H150" t="s">
        <v>55</v>
      </c>
      <c r="I150">
        <v>77</v>
      </c>
      <c r="J150">
        <v>136</v>
      </c>
      <c r="K150">
        <v>106.5</v>
      </c>
      <c r="L150" t="str">
        <f t="shared" si="11"/>
        <v>$100–125K</v>
      </c>
      <c r="M150">
        <v>76</v>
      </c>
    </row>
    <row r="151" spans="1:13">
      <c r="A151" t="s">
        <v>213</v>
      </c>
      <c r="B151" t="str">
        <f t="shared" si="8"/>
        <v>Senior</v>
      </c>
      <c r="C151" t="str">
        <f t="shared" si="9"/>
        <v>Data Scientist</v>
      </c>
      <c r="D151">
        <v>3.8</v>
      </c>
      <c r="E151" t="s">
        <v>18</v>
      </c>
      <c r="F151" t="str">
        <f t="shared" si="10"/>
        <v>Richland</v>
      </c>
      <c r="G151" t="s">
        <v>19</v>
      </c>
      <c r="H151" t="s">
        <v>20</v>
      </c>
      <c r="I151">
        <v>74</v>
      </c>
      <c r="J151">
        <v>123</v>
      </c>
      <c r="K151">
        <v>98.5</v>
      </c>
      <c r="L151" t="str">
        <f t="shared" si="11"/>
        <v>$75–100K</v>
      </c>
      <c r="M151">
        <v>56</v>
      </c>
    </row>
    <row r="152" spans="1:13">
      <c r="A152" t="s">
        <v>169</v>
      </c>
      <c r="B152" t="str">
        <f t="shared" si="8"/>
        <v>Senior</v>
      </c>
      <c r="C152" t="str">
        <f t="shared" si="9"/>
        <v>Data Analyst</v>
      </c>
      <c r="D152">
        <v>4.8</v>
      </c>
      <c r="E152" t="s">
        <v>16</v>
      </c>
      <c r="F152" t="str">
        <f t="shared" si="10"/>
        <v>Clearwater</v>
      </c>
      <c r="G152" t="s">
        <v>9</v>
      </c>
      <c r="H152" t="s">
        <v>17</v>
      </c>
      <c r="I152">
        <v>44</v>
      </c>
      <c r="J152">
        <v>78</v>
      </c>
      <c r="K152">
        <v>61</v>
      </c>
      <c r="L152" t="str">
        <f t="shared" si="11"/>
        <v>$50–75K</v>
      </c>
      <c r="M152">
        <v>11</v>
      </c>
    </row>
    <row r="153" spans="1:13">
      <c r="A153" t="s">
        <v>214</v>
      </c>
      <c r="B153" t="str">
        <f t="shared" si="8"/>
        <v>Senior</v>
      </c>
      <c r="C153" t="str">
        <f t="shared" si="9"/>
        <v>Data Scientist</v>
      </c>
      <c r="D153">
        <v>4.4000000000000004</v>
      </c>
      <c r="E153" t="s">
        <v>125</v>
      </c>
      <c r="F153" t="str">
        <f t="shared" si="10"/>
        <v>Indianapolis</v>
      </c>
      <c r="G153" t="s">
        <v>22</v>
      </c>
      <c r="H153" t="s">
        <v>30</v>
      </c>
      <c r="I153">
        <v>65</v>
      </c>
      <c r="J153">
        <v>148</v>
      </c>
      <c r="K153">
        <v>106.5</v>
      </c>
      <c r="L153" t="str">
        <f t="shared" si="11"/>
        <v>$100–125K</v>
      </c>
      <c r="M153">
        <v>13</v>
      </c>
    </row>
    <row r="154" spans="1:13">
      <c r="A154" t="s">
        <v>80</v>
      </c>
      <c r="B154" t="str">
        <f t="shared" si="8"/>
        <v>Mid-Level</v>
      </c>
      <c r="C154" t="str">
        <f t="shared" si="9"/>
        <v>Data Engineer</v>
      </c>
      <c r="D154">
        <v>3.9</v>
      </c>
      <c r="E154" t="s">
        <v>44</v>
      </c>
      <c r="F154" t="str">
        <f t="shared" si="10"/>
        <v>Cambridge</v>
      </c>
      <c r="G154" t="s">
        <v>22</v>
      </c>
      <c r="H154" t="s">
        <v>33</v>
      </c>
      <c r="I154">
        <v>59</v>
      </c>
      <c r="J154">
        <v>110</v>
      </c>
      <c r="K154">
        <v>84.5</v>
      </c>
      <c r="L154" t="str">
        <f t="shared" si="11"/>
        <v>$75–100K</v>
      </c>
      <c r="M154">
        <v>16</v>
      </c>
    </row>
    <row r="155" spans="1:13">
      <c r="A155" t="s">
        <v>215</v>
      </c>
      <c r="B155" t="str">
        <f t="shared" si="8"/>
        <v>Management</v>
      </c>
      <c r="C155" t="str">
        <f t="shared" si="9"/>
        <v>DS Manager</v>
      </c>
      <c r="D155">
        <v>3.4</v>
      </c>
      <c r="E155" t="s">
        <v>216</v>
      </c>
      <c r="F155" t="str">
        <f t="shared" si="10"/>
        <v>Ewing</v>
      </c>
      <c r="G155" t="s">
        <v>19</v>
      </c>
      <c r="H155" t="s">
        <v>86</v>
      </c>
      <c r="I155">
        <v>85</v>
      </c>
      <c r="J155">
        <v>134</v>
      </c>
      <c r="K155">
        <v>109.5</v>
      </c>
      <c r="L155" t="str">
        <f t="shared" si="11"/>
        <v>$100–125K</v>
      </c>
      <c r="M155">
        <v>175</v>
      </c>
    </row>
    <row r="156" spans="1:13">
      <c r="A156" t="s">
        <v>90</v>
      </c>
      <c r="B156" t="str">
        <f t="shared" si="8"/>
        <v>Senior</v>
      </c>
      <c r="C156" t="str">
        <f t="shared" si="9"/>
        <v>Data Scientist</v>
      </c>
      <c r="D156">
        <v>3.6</v>
      </c>
      <c r="E156" t="s">
        <v>102</v>
      </c>
      <c r="F156" t="str">
        <f t="shared" si="10"/>
        <v>Boston</v>
      </c>
      <c r="G156" t="s">
        <v>38</v>
      </c>
      <c r="H156" t="s">
        <v>55</v>
      </c>
      <c r="I156">
        <v>124</v>
      </c>
      <c r="J156">
        <v>204</v>
      </c>
      <c r="K156">
        <v>164</v>
      </c>
      <c r="L156" t="str">
        <f t="shared" si="11"/>
        <v>&gt;$150K</v>
      </c>
      <c r="M156">
        <v>170</v>
      </c>
    </row>
    <row r="157" spans="1:13">
      <c r="A157" t="s">
        <v>218</v>
      </c>
      <c r="B157" t="str">
        <f t="shared" si="8"/>
        <v>Senior</v>
      </c>
      <c r="C157" t="str">
        <f t="shared" si="9"/>
        <v>Data Scientist</v>
      </c>
      <c r="D157">
        <v>3.9</v>
      </c>
      <c r="E157" t="s">
        <v>219</v>
      </c>
      <c r="F157" t="str">
        <f t="shared" si="10"/>
        <v>South San Francisco</v>
      </c>
      <c r="G157" t="s">
        <v>14</v>
      </c>
      <c r="H157" t="s">
        <v>45</v>
      </c>
      <c r="I157">
        <v>131</v>
      </c>
      <c r="J157">
        <v>207</v>
      </c>
      <c r="K157">
        <v>169</v>
      </c>
      <c r="L157" t="str">
        <f t="shared" si="11"/>
        <v>&gt;$150K</v>
      </c>
      <c r="M157">
        <v>45</v>
      </c>
    </row>
    <row r="158" spans="1:13">
      <c r="A158" t="s">
        <v>78</v>
      </c>
      <c r="B158" t="str">
        <f t="shared" si="8"/>
        <v>Senior</v>
      </c>
      <c r="C158" t="str">
        <f t="shared" si="9"/>
        <v>Data Scientist</v>
      </c>
      <c r="D158">
        <v>3.8</v>
      </c>
      <c r="E158" t="s">
        <v>220</v>
      </c>
      <c r="F158" t="str">
        <f t="shared" si="10"/>
        <v>Cupertino</v>
      </c>
      <c r="G158" t="s">
        <v>38</v>
      </c>
      <c r="H158" t="s">
        <v>71</v>
      </c>
      <c r="I158">
        <v>110</v>
      </c>
      <c r="J158">
        <v>174</v>
      </c>
      <c r="K158">
        <v>142</v>
      </c>
      <c r="L158" t="str">
        <f t="shared" si="11"/>
        <v>$125–150K</v>
      </c>
      <c r="M158">
        <v>25</v>
      </c>
    </row>
    <row r="159" spans="1:13">
      <c r="A159" t="s">
        <v>221</v>
      </c>
      <c r="B159" t="str">
        <f t="shared" si="8"/>
        <v>Mid-Level</v>
      </c>
      <c r="C159" t="str">
        <f t="shared" si="9"/>
        <v>Data Scientist</v>
      </c>
      <c r="D159">
        <v>3.7</v>
      </c>
      <c r="E159" t="s">
        <v>102</v>
      </c>
      <c r="F159" t="str">
        <f t="shared" si="10"/>
        <v>Boston</v>
      </c>
      <c r="G159" t="s">
        <v>14</v>
      </c>
      <c r="H159" t="s">
        <v>45</v>
      </c>
      <c r="I159">
        <v>52</v>
      </c>
      <c r="J159">
        <v>101</v>
      </c>
      <c r="K159">
        <v>76.5</v>
      </c>
      <c r="L159" t="str">
        <f t="shared" si="11"/>
        <v>$75–100K</v>
      </c>
      <c r="M159">
        <v>240</v>
      </c>
    </row>
    <row r="160" spans="1:13">
      <c r="A160" t="s">
        <v>222</v>
      </c>
      <c r="B160" t="str">
        <f t="shared" si="8"/>
        <v>Mid-Level</v>
      </c>
      <c r="C160" t="str">
        <f t="shared" si="9"/>
        <v>Data Scientist</v>
      </c>
      <c r="D160">
        <v>3.8</v>
      </c>
      <c r="E160" t="s">
        <v>223</v>
      </c>
      <c r="F160" t="str">
        <f t="shared" si="10"/>
        <v>Frederick</v>
      </c>
      <c r="G160" t="s">
        <v>9</v>
      </c>
      <c r="H160" t="s">
        <v>55</v>
      </c>
      <c r="I160">
        <v>81</v>
      </c>
      <c r="J160">
        <v>133</v>
      </c>
      <c r="K160">
        <v>107</v>
      </c>
      <c r="L160" t="str">
        <f t="shared" si="11"/>
        <v>$100–125K</v>
      </c>
      <c r="M160">
        <v>40</v>
      </c>
    </row>
    <row r="161" spans="1:13">
      <c r="A161" t="s">
        <v>224</v>
      </c>
      <c r="B161" t="str">
        <f t="shared" si="8"/>
        <v>Mid-Level</v>
      </c>
      <c r="C161" t="str">
        <f t="shared" si="9"/>
        <v>Data Scientist</v>
      </c>
      <c r="D161">
        <v>3.5</v>
      </c>
      <c r="E161" t="s">
        <v>28</v>
      </c>
      <c r="F161" t="str">
        <f t="shared" si="10"/>
        <v>San Jose</v>
      </c>
      <c r="G161" t="s">
        <v>14</v>
      </c>
      <c r="H161" t="s">
        <v>76</v>
      </c>
      <c r="I161">
        <v>132</v>
      </c>
      <c r="J161">
        <v>211</v>
      </c>
      <c r="K161">
        <v>171.5</v>
      </c>
      <c r="L161" t="str">
        <f t="shared" si="11"/>
        <v>&gt;$150K</v>
      </c>
      <c r="M161">
        <v>51</v>
      </c>
    </row>
    <row r="162" spans="1:13">
      <c r="A162" t="s">
        <v>56</v>
      </c>
      <c r="B162" t="str">
        <f t="shared" si="8"/>
        <v>Senior</v>
      </c>
      <c r="C162" t="str">
        <f t="shared" si="9"/>
        <v>ML Engineer</v>
      </c>
      <c r="D162">
        <v>3.9</v>
      </c>
      <c r="E162" t="s">
        <v>24</v>
      </c>
      <c r="F162" t="str">
        <f t="shared" si="10"/>
        <v>Dallas</v>
      </c>
      <c r="G162" t="s">
        <v>25</v>
      </c>
      <c r="H162" t="s">
        <v>57</v>
      </c>
      <c r="I162">
        <v>73</v>
      </c>
      <c r="J162">
        <v>119</v>
      </c>
      <c r="K162">
        <v>96</v>
      </c>
      <c r="L162" t="str">
        <f t="shared" si="11"/>
        <v>$75–100K</v>
      </c>
      <c r="M162">
        <v>8</v>
      </c>
    </row>
    <row r="163" spans="1:13">
      <c r="A163" t="s">
        <v>53</v>
      </c>
      <c r="B163" t="str">
        <f t="shared" si="8"/>
        <v>Mid-Level</v>
      </c>
      <c r="C163" t="str">
        <f t="shared" si="9"/>
        <v>Data Scientist</v>
      </c>
      <c r="D163">
        <v>4.2</v>
      </c>
      <c r="E163" t="s">
        <v>34</v>
      </c>
      <c r="F163" t="str">
        <f t="shared" si="10"/>
        <v>San Francisco</v>
      </c>
      <c r="G163" t="s">
        <v>22</v>
      </c>
      <c r="H163" t="s">
        <v>52</v>
      </c>
      <c r="I163">
        <v>110</v>
      </c>
      <c r="J163">
        <v>175</v>
      </c>
      <c r="K163">
        <v>142.5</v>
      </c>
      <c r="L163" t="str">
        <f t="shared" si="11"/>
        <v>$125–150K</v>
      </c>
      <c r="M163">
        <v>11</v>
      </c>
    </row>
    <row r="164" spans="1:13">
      <c r="A164" t="s">
        <v>225</v>
      </c>
      <c r="B164" t="str">
        <f t="shared" si="8"/>
        <v>Mid-Level</v>
      </c>
      <c r="C164" t="str">
        <f t="shared" si="9"/>
        <v>Data Engineer</v>
      </c>
      <c r="D164">
        <v>4.2</v>
      </c>
      <c r="E164" t="s">
        <v>203</v>
      </c>
      <c r="F164" t="str">
        <f t="shared" si="10"/>
        <v>Riverton</v>
      </c>
      <c r="G164" t="s">
        <v>14</v>
      </c>
      <c r="H164" t="s">
        <v>205</v>
      </c>
      <c r="I164">
        <v>74</v>
      </c>
      <c r="J164">
        <v>140</v>
      </c>
      <c r="K164">
        <v>107</v>
      </c>
      <c r="L164" t="str">
        <f t="shared" si="11"/>
        <v>$100–125K</v>
      </c>
      <c r="M164">
        <v>-1</v>
      </c>
    </row>
    <row r="165" spans="1:13">
      <c r="A165" t="s">
        <v>226</v>
      </c>
      <c r="B165" t="str">
        <f t="shared" si="8"/>
        <v>Senior</v>
      </c>
      <c r="C165" t="str">
        <f t="shared" si="9"/>
        <v>Data Scientist</v>
      </c>
      <c r="D165">
        <v>3.5</v>
      </c>
      <c r="E165" t="s">
        <v>82</v>
      </c>
      <c r="F165" t="str">
        <f t="shared" si="10"/>
        <v>Marlborough</v>
      </c>
      <c r="G165" t="s">
        <v>19</v>
      </c>
      <c r="H165" t="s">
        <v>45</v>
      </c>
      <c r="I165">
        <v>100</v>
      </c>
      <c r="J165">
        <v>190</v>
      </c>
      <c r="K165">
        <v>145</v>
      </c>
      <c r="L165" t="str">
        <f t="shared" si="11"/>
        <v>$125–150K</v>
      </c>
      <c r="M165">
        <v>11</v>
      </c>
    </row>
    <row r="166" spans="1:13">
      <c r="A166" t="s">
        <v>169</v>
      </c>
      <c r="B166" t="str">
        <f t="shared" si="8"/>
        <v>Senior</v>
      </c>
      <c r="C166" t="str">
        <f t="shared" si="9"/>
        <v>Data Analyst</v>
      </c>
      <c r="D166">
        <v>2.9</v>
      </c>
      <c r="E166" t="s">
        <v>37</v>
      </c>
      <c r="F166" t="str">
        <f t="shared" si="10"/>
        <v>Herndon</v>
      </c>
      <c r="G166" t="s">
        <v>25</v>
      </c>
      <c r="H166" t="s">
        <v>208</v>
      </c>
      <c r="I166">
        <v>43</v>
      </c>
      <c r="J166">
        <v>80</v>
      </c>
      <c r="K166">
        <v>61.5</v>
      </c>
      <c r="L166" t="str">
        <f t="shared" si="11"/>
        <v>$50–75K</v>
      </c>
      <c r="M166">
        <v>28</v>
      </c>
    </row>
    <row r="167" spans="1:13">
      <c r="A167" t="s">
        <v>227</v>
      </c>
      <c r="B167" t="str">
        <f t="shared" si="8"/>
        <v>Mid-Level</v>
      </c>
      <c r="C167" t="str">
        <f t="shared" si="9"/>
        <v>Data Scientist</v>
      </c>
      <c r="D167">
        <v>3.6</v>
      </c>
      <c r="E167" t="s">
        <v>228</v>
      </c>
      <c r="F167" t="str">
        <f t="shared" si="10"/>
        <v>West Reading</v>
      </c>
      <c r="G167" t="s">
        <v>38</v>
      </c>
      <c r="H167" t="s">
        <v>15</v>
      </c>
      <c r="I167">
        <v>35</v>
      </c>
      <c r="J167">
        <v>49</v>
      </c>
      <c r="K167">
        <v>42</v>
      </c>
      <c r="L167" t="str">
        <f t="shared" si="11"/>
        <v>&lt;$50K</v>
      </c>
      <c r="M167">
        <v>4</v>
      </c>
    </row>
    <row r="168" spans="1:13">
      <c r="A168" t="s">
        <v>229</v>
      </c>
      <c r="B168" t="str">
        <f t="shared" si="8"/>
        <v>Mid-Level</v>
      </c>
      <c r="C168" t="str">
        <f t="shared" si="9"/>
        <v>Data Scientist</v>
      </c>
      <c r="D168">
        <v>2.7</v>
      </c>
      <c r="E168" t="s">
        <v>230</v>
      </c>
      <c r="F168" t="str">
        <f t="shared" si="10"/>
        <v>Madison</v>
      </c>
      <c r="G168" t="s">
        <v>22</v>
      </c>
      <c r="H168" t="s">
        <v>231</v>
      </c>
      <c r="I168">
        <v>91</v>
      </c>
      <c r="J168">
        <v>149</v>
      </c>
      <c r="K168">
        <v>120</v>
      </c>
      <c r="L168" t="str">
        <f t="shared" si="11"/>
        <v>$100–125K</v>
      </c>
      <c r="M168">
        <v>70</v>
      </c>
    </row>
    <row r="169" spans="1:13">
      <c r="A169" t="s">
        <v>232</v>
      </c>
      <c r="B169" t="str">
        <f t="shared" si="8"/>
        <v>Mid-Level</v>
      </c>
      <c r="C169" t="str">
        <f t="shared" si="9"/>
        <v>Data Scientist</v>
      </c>
      <c r="D169">
        <v>4.4000000000000004</v>
      </c>
      <c r="E169" t="s">
        <v>44</v>
      </c>
      <c r="F169" t="str">
        <f t="shared" si="10"/>
        <v>Cambridge</v>
      </c>
      <c r="G169" t="s">
        <v>25</v>
      </c>
      <c r="H169" t="s">
        <v>45</v>
      </c>
      <c r="I169">
        <v>42</v>
      </c>
      <c r="J169">
        <v>82</v>
      </c>
      <c r="K169">
        <v>62</v>
      </c>
      <c r="L169" t="str">
        <f t="shared" si="11"/>
        <v>$50–75K</v>
      </c>
      <c r="M169">
        <v>8</v>
      </c>
    </row>
    <row r="170" spans="1:13">
      <c r="A170" t="s">
        <v>78</v>
      </c>
      <c r="B170" t="str">
        <f t="shared" si="8"/>
        <v>Senior</v>
      </c>
      <c r="C170" t="str">
        <f t="shared" si="9"/>
        <v>Data Scientist</v>
      </c>
      <c r="D170">
        <v>4</v>
      </c>
      <c r="E170" t="s">
        <v>34</v>
      </c>
      <c r="F170" t="str">
        <f t="shared" si="10"/>
        <v>San Francisco</v>
      </c>
      <c r="G170" t="s">
        <v>38</v>
      </c>
      <c r="H170" t="s">
        <v>76</v>
      </c>
      <c r="I170">
        <v>116</v>
      </c>
      <c r="J170">
        <v>185</v>
      </c>
      <c r="K170">
        <v>150.5</v>
      </c>
      <c r="L170" t="str">
        <f t="shared" si="11"/>
        <v>&gt;$150K</v>
      </c>
      <c r="M170">
        <v>39</v>
      </c>
    </row>
    <row r="171" spans="1:13">
      <c r="A171" t="s">
        <v>233</v>
      </c>
      <c r="B171" t="str">
        <f t="shared" si="8"/>
        <v>Management</v>
      </c>
      <c r="C171" t="str">
        <f t="shared" si="9"/>
        <v>DS Manager</v>
      </c>
      <c r="D171">
        <v>4.3</v>
      </c>
      <c r="E171" t="s">
        <v>234</v>
      </c>
      <c r="F171" t="str">
        <f t="shared" si="10"/>
        <v>Dearborn</v>
      </c>
      <c r="G171" t="s">
        <v>25</v>
      </c>
      <c r="H171" t="s">
        <v>23</v>
      </c>
      <c r="I171">
        <v>59</v>
      </c>
      <c r="J171">
        <v>116</v>
      </c>
      <c r="K171">
        <v>87.5</v>
      </c>
      <c r="L171" t="str">
        <f t="shared" si="11"/>
        <v>$75–100K</v>
      </c>
      <c r="M171">
        <v>54</v>
      </c>
    </row>
    <row r="172" spans="1:13">
      <c r="A172" t="s">
        <v>80</v>
      </c>
      <c r="B172" t="str">
        <f t="shared" si="8"/>
        <v>Mid-Level</v>
      </c>
      <c r="C172" t="str">
        <f t="shared" si="9"/>
        <v>Data Engineer</v>
      </c>
      <c r="D172">
        <v>4.2</v>
      </c>
      <c r="E172" t="s">
        <v>235</v>
      </c>
      <c r="F172" t="str">
        <f t="shared" si="10"/>
        <v>Winter Park</v>
      </c>
      <c r="G172" t="s">
        <v>22</v>
      </c>
      <c r="H172" t="s">
        <v>23</v>
      </c>
      <c r="I172">
        <v>48</v>
      </c>
      <c r="J172">
        <v>95</v>
      </c>
      <c r="K172">
        <v>71.5</v>
      </c>
      <c r="L172" t="str">
        <f t="shared" si="11"/>
        <v>$50–75K</v>
      </c>
      <c r="M172">
        <v>15</v>
      </c>
    </row>
    <row r="173" spans="1:13">
      <c r="A173" t="s">
        <v>236</v>
      </c>
      <c r="B173" t="str">
        <f t="shared" si="8"/>
        <v>Mid-Level</v>
      </c>
      <c r="C173" t="str">
        <f t="shared" si="9"/>
        <v>Data Analyst</v>
      </c>
      <c r="D173">
        <v>3.6</v>
      </c>
      <c r="E173" t="s">
        <v>172</v>
      </c>
      <c r="F173" t="str">
        <f t="shared" si="10"/>
        <v>San Rafael</v>
      </c>
      <c r="G173" t="s">
        <v>22</v>
      </c>
      <c r="H173" t="s">
        <v>42</v>
      </c>
      <c r="I173">
        <v>31</v>
      </c>
      <c r="J173">
        <v>72</v>
      </c>
      <c r="K173">
        <v>51.5</v>
      </c>
      <c r="L173" t="str">
        <f t="shared" si="11"/>
        <v>$50–75K</v>
      </c>
      <c r="M173">
        <v>15</v>
      </c>
    </row>
    <row r="174" spans="1:13">
      <c r="A174" t="s">
        <v>237</v>
      </c>
      <c r="B174" t="str">
        <f t="shared" si="8"/>
        <v>Senior</v>
      </c>
      <c r="C174" t="str">
        <f t="shared" si="9"/>
        <v>Data Scientist</v>
      </c>
      <c r="D174">
        <v>3.7</v>
      </c>
      <c r="E174" t="s">
        <v>106</v>
      </c>
      <c r="F174" t="str">
        <f t="shared" si="10"/>
        <v>San Diego</v>
      </c>
      <c r="G174" t="s">
        <v>14</v>
      </c>
      <c r="H174" t="s">
        <v>45</v>
      </c>
      <c r="I174">
        <v>105</v>
      </c>
      <c r="J174">
        <v>198</v>
      </c>
      <c r="K174">
        <v>151.5</v>
      </c>
      <c r="L174" t="str">
        <f t="shared" si="11"/>
        <v>&gt;$150K</v>
      </c>
      <c r="M174">
        <v>240</v>
      </c>
    </row>
    <row r="175" spans="1:13">
      <c r="A175" t="s">
        <v>169</v>
      </c>
      <c r="B175" t="str">
        <f t="shared" si="8"/>
        <v>Senior</v>
      </c>
      <c r="C175" t="str">
        <f t="shared" si="9"/>
        <v>Data Analyst</v>
      </c>
      <c r="D175">
        <v>2.8</v>
      </c>
      <c r="E175" t="s">
        <v>238</v>
      </c>
      <c r="F175" t="str">
        <f t="shared" si="10"/>
        <v>Hamilton</v>
      </c>
      <c r="G175" t="s">
        <v>25</v>
      </c>
      <c r="H175" t="s">
        <v>74</v>
      </c>
      <c r="I175">
        <v>55</v>
      </c>
      <c r="J175">
        <v>100</v>
      </c>
      <c r="K175">
        <v>77.5</v>
      </c>
      <c r="L175" t="str">
        <f t="shared" si="11"/>
        <v>$75–100K</v>
      </c>
      <c r="M175">
        <v>7</v>
      </c>
    </row>
    <row r="176" spans="1:13">
      <c r="A176" t="s">
        <v>239</v>
      </c>
      <c r="B176" t="str">
        <f t="shared" si="8"/>
        <v>Senior</v>
      </c>
      <c r="C176" t="str">
        <f t="shared" si="9"/>
        <v>Data Scientist</v>
      </c>
      <c r="D176">
        <v>3.7</v>
      </c>
      <c r="E176" t="s">
        <v>102</v>
      </c>
      <c r="F176" t="str">
        <f t="shared" si="10"/>
        <v>Boston</v>
      </c>
      <c r="G176" t="s">
        <v>14</v>
      </c>
      <c r="H176" t="s">
        <v>45</v>
      </c>
      <c r="I176">
        <v>98</v>
      </c>
      <c r="J176">
        <v>182</v>
      </c>
      <c r="K176">
        <v>140</v>
      </c>
      <c r="L176" t="str">
        <f t="shared" si="11"/>
        <v>$125–150K</v>
      </c>
      <c r="M176">
        <v>240</v>
      </c>
    </row>
    <row r="177" spans="1:13">
      <c r="A177" t="s">
        <v>78</v>
      </c>
      <c r="B177" t="str">
        <f t="shared" si="8"/>
        <v>Senior</v>
      </c>
      <c r="C177" t="str">
        <f t="shared" si="9"/>
        <v>Data Scientist</v>
      </c>
      <c r="D177">
        <v>3.3</v>
      </c>
      <c r="E177" t="s">
        <v>240</v>
      </c>
      <c r="F177" t="str">
        <f t="shared" si="10"/>
        <v>Woodbridge</v>
      </c>
      <c r="G177" t="s">
        <v>19</v>
      </c>
      <c r="H177" t="s">
        <v>55</v>
      </c>
      <c r="I177">
        <v>73</v>
      </c>
      <c r="J177">
        <v>124</v>
      </c>
      <c r="K177">
        <v>98.5</v>
      </c>
      <c r="L177" t="str">
        <f t="shared" si="11"/>
        <v>$75–100K</v>
      </c>
      <c r="M177">
        <v>39</v>
      </c>
    </row>
    <row r="178" spans="1:13">
      <c r="A178" t="s">
        <v>241</v>
      </c>
      <c r="B178" t="str">
        <f t="shared" si="8"/>
        <v>Senior</v>
      </c>
      <c r="C178" t="str">
        <f t="shared" si="9"/>
        <v>Data Scientist</v>
      </c>
      <c r="D178">
        <v>-1</v>
      </c>
      <c r="E178" t="s">
        <v>34</v>
      </c>
      <c r="F178" t="str">
        <f t="shared" si="10"/>
        <v>San Francisco</v>
      </c>
      <c r="G178" t="s">
        <v>22</v>
      </c>
      <c r="H178" t="s">
        <v>74</v>
      </c>
      <c r="I178">
        <v>200</v>
      </c>
      <c r="J178">
        <v>250</v>
      </c>
      <c r="K178">
        <v>225</v>
      </c>
      <c r="L178" t="str">
        <f t="shared" si="11"/>
        <v>&gt;$150K</v>
      </c>
      <c r="M178">
        <v>4</v>
      </c>
    </row>
    <row r="179" spans="1:13">
      <c r="A179" t="s">
        <v>242</v>
      </c>
      <c r="B179" t="str">
        <f t="shared" si="8"/>
        <v>Mid-Level</v>
      </c>
      <c r="C179" t="str">
        <f t="shared" si="9"/>
        <v>Data Scientist</v>
      </c>
      <c r="D179">
        <v>3.6</v>
      </c>
      <c r="E179" t="s">
        <v>243</v>
      </c>
      <c r="F179" t="str">
        <f t="shared" si="10"/>
        <v>Lewes</v>
      </c>
      <c r="G179" t="s">
        <v>19</v>
      </c>
      <c r="H179" t="s">
        <v>15</v>
      </c>
      <c r="I179">
        <v>43</v>
      </c>
      <c r="J179">
        <v>70</v>
      </c>
      <c r="K179">
        <v>56.5</v>
      </c>
      <c r="L179" t="str">
        <f t="shared" si="11"/>
        <v>$50–75K</v>
      </c>
      <c r="M179">
        <v>86</v>
      </c>
    </row>
    <row r="180" spans="1:13">
      <c r="A180" t="s">
        <v>244</v>
      </c>
      <c r="B180" t="str">
        <f t="shared" si="8"/>
        <v>Senior</v>
      </c>
      <c r="C180" t="str">
        <f t="shared" si="9"/>
        <v>Data Scientist</v>
      </c>
      <c r="D180">
        <v>3.7</v>
      </c>
      <c r="E180" t="s">
        <v>102</v>
      </c>
      <c r="F180" t="str">
        <f t="shared" si="10"/>
        <v>Boston</v>
      </c>
      <c r="G180" t="s">
        <v>14</v>
      </c>
      <c r="H180" t="s">
        <v>45</v>
      </c>
      <c r="I180">
        <v>117</v>
      </c>
      <c r="J180">
        <v>206</v>
      </c>
      <c r="K180">
        <v>161.5</v>
      </c>
      <c r="L180" t="str">
        <f t="shared" si="11"/>
        <v>&gt;$150K</v>
      </c>
      <c r="M180">
        <v>240</v>
      </c>
    </row>
    <row r="181" spans="1:13">
      <c r="A181" t="s">
        <v>245</v>
      </c>
      <c r="B181" t="str">
        <f t="shared" si="8"/>
        <v>Senior</v>
      </c>
      <c r="C181" t="str">
        <f t="shared" si="9"/>
        <v>Data Scientist</v>
      </c>
      <c r="D181">
        <v>3.4</v>
      </c>
      <c r="E181" t="s">
        <v>21</v>
      </c>
      <c r="F181" t="str">
        <f t="shared" si="10"/>
        <v>New York</v>
      </c>
      <c r="G181" t="s">
        <v>19</v>
      </c>
      <c r="H181" t="s">
        <v>55</v>
      </c>
      <c r="I181">
        <v>111</v>
      </c>
      <c r="J181">
        <v>183</v>
      </c>
      <c r="K181">
        <v>147</v>
      </c>
      <c r="L181" t="str">
        <f t="shared" si="11"/>
        <v>$125–150K</v>
      </c>
      <c r="M181">
        <v>73</v>
      </c>
    </row>
    <row r="182" spans="1:13">
      <c r="A182" t="s">
        <v>246</v>
      </c>
      <c r="B182" t="str">
        <f t="shared" si="8"/>
        <v>Mid-Level</v>
      </c>
      <c r="C182" t="str">
        <f t="shared" si="9"/>
        <v>Data Analyst</v>
      </c>
      <c r="D182">
        <v>4.0999999999999996</v>
      </c>
      <c r="E182" t="s">
        <v>247</v>
      </c>
      <c r="F182" t="str">
        <f t="shared" si="10"/>
        <v>Springfield</v>
      </c>
      <c r="G182" t="s">
        <v>9</v>
      </c>
      <c r="H182" t="s">
        <v>20</v>
      </c>
      <c r="I182">
        <v>44</v>
      </c>
      <c r="J182">
        <v>78</v>
      </c>
      <c r="K182">
        <v>61</v>
      </c>
      <c r="L182" t="str">
        <f t="shared" si="11"/>
        <v>$50–75K</v>
      </c>
      <c r="M182">
        <v>60</v>
      </c>
    </row>
    <row r="183" spans="1:13">
      <c r="A183" t="s">
        <v>248</v>
      </c>
      <c r="B183" t="str">
        <f t="shared" si="8"/>
        <v>Mid-Level</v>
      </c>
      <c r="C183" t="str">
        <f t="shared" si="9"/>
        <v>ML Engineer</v>
      </c>
      <c r="D183">
        <v>2.6</v>
      </c>
      <c r="E183" t="s">
        <v>133</v>
      </c>
      <c r="F183" t="str">
        <f t="shared" si="10"/>
        <v>Pittsburgh</v>
      </c>
      <c r="G183" t="s">
        <v>9</v>
      </c>
      <c r="H183" t="s">
        <v>208</v>
      </c>
      <c r="I183">
        <v>81</v>
      </c>
      <c r="J183">
        <v>159</v>
      </c>
      <c r="K183">
        <v>120</v>
      </c>
      <c r="L183" t="str">
        <f t="shared" si="11"/>
        <v>$100–125K</v>
      </c>
      <c r="M183">
        <v>37</v>
      </c>
    </row>
    <row r="184" spans="1:13">
      <c r="A184" t="s">
        <v>249</v>
      </c>
      <c r="B184" t="str">
        <f t="shared" si="8"/>
        <v>Management</v>
      </c>
      <c r="C184" t="str">
        <f t="shared" si="9"/>
        <v>Data Scientist</v>
      </c>
      <c r="D184">
        <v>3.2</v>
      </c>
      <c r="E184" t="s">
        <v>170</v>
      </c>
      <c r="F184" t="str">
        <f t="shared" si="10"/>
        <v>Phoenix</v>
      </c>
      <c r="G184" t="s">
        <v>19</v>
      </c>
      <c r="H184" t="s">
        <v>250</v>
      </c>
      <c r="I184">
        <v>83</v>
      </c>
      <c r="J184">
        <v>166</v>
      </c>
      <c r="K184">
        <v>124.5</v>
      </c>
      <c r="L184" t="str">
        <f t="shared" si="11"/>
        <v>$100–125K</v>
      </c>
      <c r="M184">
        <v>13</v>
      </c>
    </row>
    <row r="185" spans="1:13">
      <c r="A185" t="s">
        <v>78</v>
      </c>
      <c r="B185" t="str">
        <f t="shared" si="8"/>
        <v>Senior</v>
      </c>
      <c r="C185" t="str">
        <f t="shared" si="9"/>
        <v>Data Scientist</v>
      </c>
      <c r="D185">
        <v>3.9</v>
      </c>
      <c r="E185" t="s">
        <v>251</v>
      </c>
      <c r="F185" t="str">
        <f t="shared" si="10"/>
        <v>Burbank</v>
      </c>
      <c r="G185" t="s">
        <v>22</v>
      </c>
      <c r="H185" t="s">
        <v>148</v>
      </c>
      <c r="I185">
        <v>114</v>
      </c>
      <c r="J185">
        <v>182</v>
      </c>
      <c r="K185">
        <v>148</v>
      </c>
      <c r="L185" t="str">
        <f t="shared" si="11"/>
        <v>$125–150K</v>
      </c>
      <c r="M185">
        <v>12</v>
      </c>
    </row>
    <row r="186" spans="1:13">
      <c r="A186" t="s">
        <v>252</v>
      </c>
      <c r="B186" t="str">
        <f t="shared" si="8"/>
        <v>Mid-Level</v>
      </c>
      <c r="C186" t="str">
        <f t="shared" si="9"/>
        <v>Data Analyst</v>
      </c>
      <c r="D186">
        <v>4.7</v>
      </c>
      <c r="E186" t="s">
        <v>104</v>
      </c>
      <c r="F186" t="str">
        <f t="shared" si="10"/>
        <v>Huntsville</v>
      </c>
      <c r="G186" t="s">
        <v>22</v>
      </c>
      <c r="H186" t="s">
        <v>10</v>
      </c>
      <c r="I186">
        <v>42</v>
      </c>
      <c r="J186">
        <v>76</v>
      </c>
      <c r="K186">
        <v>59</v>
      </c>
      <c r="L186" t="str">
        <f t="shared" si="11"/>
        <v>$50–75K</v>
      </c>
      <c r="M186">
        <v>25</v>
      </c>
    </row>
    <row r="187" spans="1:13">
      <c r="A187" t="s">
        <v>253</v>
      </c>
      <c r="B187" t="str">
        <f t="shared" si="8"/>
        <v>Senior</v>
      </c>
      <c r="C187" t="str">
        <f t="shared" si="9"/>
        <v>Data Scientist</v>
      </c>
      <c r="D187">
        <v>3.7</v>
      </c>
      <c r="E187" t="s">
        <v>65</v>
      </c>
      <c r="F187" t="str">
        <f t="shared" si="10"/>
        <v>Worcester</v>
      </c>
      <c r="G187" t="s">
        <v>38</v>
      </c>
      <c r="H187" t="s">
        <v>55</v>
      </c>
      <c r="I187">
        <v>114</v>
      </c>
      <c r="J187">
        <v>179</v>
      </c>
      <c r="K187">
        <v>146.5</v>
      </c>
      <c r="L187" t="str">
        <f t="shared" si="11"/>
        <v>$125–150K</v>
      </c>
      <c r="M187">
        <v>169</v>
      </c>
    </row>
    <row r="188" spans="1:13">
      <c r="A188" t="s">
        <v>254</v>
      </c>
      <c r="B188" t="str">
        <f t="shared" si="8"/>
        <v>Mid-Level</v>
      </c>
      <c r="C188" t="str">
        <f t="shared" si="9"/>
        <v>Data Scientist</v>
      </c>
      <c r="D188">
        <v>2.9</v>
      </c>
      <c r="E188" t="s">
        <v>255</v>
      </c>
      <c r="F188" t="str">
        <f t="shared" si="10"/>
        <v>Newton</v>
      </c>
      <c r="G188" t="s">
        <v>25</v>
      </c>
      <c r="H188" t="s">
        <v>45</v>
      </c>
      <c r="I188">
        <v>60</v>
      </c>
      <c r="J188">
        <v>123</v>
      </c>
      <c r="K188">
        <v>91.5</v>
      </c>
      <c r="L188" t="str">
        <f t="shared" si="11"/>
        <v>$75–100K</v>
      </c>
      <c r="M188">
        <v>-1</v>
      </c>
    </row>
    <row r="189" spans="1:13">
      <c r="A189" t="s">
        <v>256</v>
      </c>
      <c r="B189" t="str">
        <f t="shared" si="8"/>
        <v>Senior</v>
      </c>
      <c r="C189" t="str">
        <f t="shared" si="9"/>
        <v>ML Engineer</v>
      </c>
      <c r="D189">
        <v>3</v>
      </c>
      <c r="E189" t="s">
        <v>59</v>
      </c>
      <c r="F189" t="str">
        <f t="shared" si="10"/>
        <v>Chicago</v>
      </c>
      <c r="G189" t="s">
        <v>9</v>
      </c>
      <c r="H189" t="s">
        <v>45</v>
      </c>
      <c r="I189">
        <v>100</v>
      </c>
      <c r="J189">
        <v>166</v>
      </c>
      <c r="K189">
        <v>133</v>
      </c>
      <c r="L189" t="str">
        <f t="shared" si="11"/>
        <v>$125–150K</v>
      </c>
      <c r="M189">
        <v>6</v>
      </c>
    </row>
    <row r="190" spans="1:13">
      <c r="A190" t="s">
        <v>257</v>
      </c>
      <c r="B190" t="str">
        <f t="shared" si="8"/>
        <v>Senior</v>
      </c>
      <c r="C190" t="str">
        <f t="shared" si="9"/>
        <v>Data Scientist</v>
      </c>
      <c r="D190">
        <v>4.7</v>
      </c>
      <c r="E190" t="s">
        <v>204</v>
      </c>
      <c r="F190" t="str">
        <f t="shared" si="10"/>
        <v>Salt Lake City</v>
      </c>
      <c r="G190" t="s">
        <v>22</v>
      </c>
      <c r="H190" t="s">
        <v>45</v>
      </c>
      <c r="I190">
        <v>108</v>
      </c>
      <c r="J190">
        <v>173</v>
      </c>
      <c r="K190">
        <v>140.5</v>
      </c>
      <c r="L190" t="str">
        <f t="shared" si="11"/>
        <v>$125–150K</v>
      </c>
      <c r="M190">
        <v>8</v>
      </c>
    </row>
    <row r="191" spans="1:13">
      <c r="A191" t="s">
        <v>80</v>
      </c>
      <c r="B191" t="str">
        <f t="shared" si="8"/>
        <v>Mid-Level</v>
      </c>
      <c r="C191" t="str">
        <f t="shared" si="9"/>
        <v>Data Engineer</v>
      </c>
      <c r="D191">
        <v>3.7</v>
      </c>
      <c r="E191" t="s">
        <v>258</v>
      </c>
      <c r="F191" t="str">
        <f t="shared" si="10"/>
        <v>Lafayette</v>
      </c>
      <c r="G191" t="s">
        <v>9</v>
      </c>
      <c r="H191" t="s">
        <v>76</v>
      </c>
      <c r="I191">
        <v>48</v>
      </c>
      <c r="J191">
        <v>93</v>
      </c>
      <c r="K191">
        <v>70.5</v>
      </c>
      <c r="L191" t="str">
        <f t="shared" si="11"/>
        <v>$50–75K</v>
      </c>
      <c r="M191">
        <v>-1</v>
      </c>
    </row>
    <row r="192" spans="1:13">
      <c r="A192" t="s">
        <v>259</v>
      </c>
      <c r="B192" t="str">
        <f t="shared" si="8"/>
        <v>Senior</v>
      </c>
      <c r="C192" t="str">
        <f t="shared" si="9"/>
        <v>Data Scientist</v>
      </c>
      <c r="D192">
        <v>3.3</v>
      </c>
      <c r="E192" t="s">
        <v>32</v>
      </c>
      <c r="F192" t="str">
        <f t="shared" si="10"/>
        <v>Rochester</v>
      </c>
      <c r="G192" t="s">
        <v>14</v>
      </c>
      <c r="H192" t="s">
        <v>15</v>
      </c>
      <c r="I192">
        <v>54</v>
      </c>
      <c r="J192">
        <v>115</v>
      </c>
      <c r="K192">
        <v>84.5</v>
      </c>
      <c r="L192" t="str">
        <f t="shared" si="11"/>
        <v>$75–100K</v>
      </c>
      <c r="M192">
        <v>7</v>
      </c>
    </row>
    <row r="193" spans="1:13">
      <c r="A193" t="s">
        <v>260</v>
      </c>
      <c r="B193" t="str">
        <f t="shared" si="8"/>
        <v>Mid-Level</v>
      </c>
      <c r="C193" t="str">
        <f t="shared" si="9"/>
        <v>Data Scientist</v>
      </c>
      <c r="D193">
        <v>4</v>
      </c>
      <c r="E193" t="s">
        <v>261</v>
      </c>
      <c r="F193" t="str">
        <f t="shared" si="10"/>
        <v>Annapolis Junction</v>
      </c>
      <c r="G193" t="s">
        <v>22</v>
      </c>
      <c r="H193" t="s">
        <v>76</v>
      </c>
      <c r="I193">
        <v>60</v>
      </c>
      <c r="J193">
        <v>127</v>
      </c>
      <c r="K193">
        <v>93.5</v>
      </c>
      <c r="L193" t="str">
        <f t="shared" si="11"/>
        <v>$75–100K</v>
      </c>
      <c r="M193">
        <v>19</v>
      </c>
    </row>
    <row r="194" spans="1:13">
      <c r="A194" t="s">
        <v>262</v>
      </c>
      <c r="B194" t="str">
        <f t="shared" si="8"/>
        <v>Senior</v>
      </c>
      <c r="C194" t="str">
        <f t="shared" si="9"/>
        <v>Data Scientist</v>
      </c>
      <c r="D194">
        <v>4.4000000000000004</v>
      </c>
      <c r="E194" t="s">
        <v>44</v>
      </c>
      <c r="F194" t="str">
        <f t="shared" si="10"/>
        <v>Cambridge</v>
      </c>
      <c r="G194" t="s">
        <v>25</v>
      </c>
      <c r="H194" t="s">
        <v>45</v>
      </c>
      <c r="I194">
        <v>90</v>
      </c>
      <c r="J194">
        <v>179</v>
      </c>
      <c r="K194">
        <v>134.5</v>
      </c>
      <c r="L194" t="str">
        <f t="shared" si="11"/>
        <v>$125–150K</v>
      </c>
      <c r="M194">
        <v>8</v>
      </c>
    </row>
    <row r="195" spans="1:13">
      <c r="A195" t="s">
        <v>263</v>
      </c>
      <c r="B195" t="str">
        <f t="shared" ref="B195:B258" si="12">IF(OR(ISNUMBER(SEARCH("Senior",A195)),ISNUMBER(SEARCH("Sr",A195)),ISNUMBER(SEARCH("Lead",A195)),ISNUMBER(SEARCH("Principal",A195))),"Senior",IF(OR(ISNUMBER(SEARCH("Junior",A195)),ISNUMBER(SEARCH("Jr",A195)),ISNUMBER(SEARCH("Entry",A195)),ISNUMBER(SEARCH("Associate",A195))),"Junior",IF(OR(ISNUMBER(SEARCH("Manager",A195)),ISNUMBER(SEARCH("Director",A195)),ISNUMBER(SEARCH("Head",A195)),ISNUMBER(SEARCH("VP",A195))),"Management","Mid-Level")))</f>
        <v>Mid-Level</v>
      </c>
      <c r="C195" t="str">
        <f t="shared" ref="C195:C258" si="13">IF(ISNUMBER(SEARCH("Machine Learn",A195)),"ML Engineer",IF(ISNUMBER(SEARCH("Data Engineer",A195)),"Data Engineer",IF(ISNUMBER(SEARCH("Data Analyst",A195)),"Data Analyst",IF(ISNUMBER(SEARCH("Business Analyst",A195)),"Business Analyst",IF(ISNUMBER(SEARCH("Research",A195)),"Research Scientist",IF(ISNUMBER(SEARCH("Manager",A195)),"DS Manager",IF(ISNUMBER(SEARCH("Director",A195)),"Director/VP","Data Scientist")))))))</f>
        <v>ML Engineer</v>
      </c>
      <c r="D195">
        <v>3.9</v>
      </c>
      <c r="E195" t="s">
        <v>34</v>
      </c>
      <c r="F195" t="str">
        <f t="shared" ref="F195:F258" si="14">IFERROR(LEFT(E195, FIND(",", E195)-1), E195)</f>
        <v>San Francisco</v>
      </c>
      <c r="G195" t="s">
        <v>25</v>
      </c>
      <c r="H195" t="s">
        <v>33</v>
      </c>
      <c r="I195">
        <v>138</v>
      </c>
      <c r="J195">
        <v>224</v>
      </c>
      <c r="K195">
        <v>181</v>
      </c>
      <c r="L195" t="str">
        <f t="shared" ref="L195:L258" si="15">IF(K195&lt;50,"&lt;$50K",IF(K195&lt;75,"$50–75K",IF(K195&lt;100,"$75–100K",IF(K195&lt;125,"$100–125K",IF(K195&lt;150,"$125–150K","&gt;$150K")))))</f>
        <v>&gt;$150K</v>
      </c>
      <c r="M195">
        <v>14</v>
      </c>
    </row>
    <row r="196" spans="1:13">
      <c r="A196" t="s">
        <v>264</v>
      </c>
      <c r="B196" t="str">
        <f t="shared" si="12"/>
        <v>Senior</v>
      </c>
      <c r="C196" t="str">
        <f t="shared" si="13"/>
        <v>Data Scientist</v>
      </c>
      <c r="D196">
        <v>3.3</v>
      </c>
      <c r="E196" t="s">
        <v>32</v>
      </c>
      <c r="F196" t="str">
        <f t="shared" si="14"/>
        <v>Rochester</v>
      </c>
      <c r="G196" t="s">
        <v>14</v>
      </c>
      <c r="H196" t="s">
        <v>15</v>
      </c>
      <c r="I196">
        <v>54</v>
      </c>
      <c r="J196">
        <v>115</v>
      </c>
      <c r="K196">
        <v>84.5</v>
      </c>
      <c r="L196" t="str">
        <f t="shared" si="15"/>
        <v>$75–100K</v>
      </c>
      <c r="M196">
        <v>7</v>
      </c>
    </row>
    <row r="197" spans="1:13">
      <c r="A197" t="s">
        <v>265</v>
      </c>
      <c r="B197" t="str">
        <f t="shared" si="12"/>
        <v>Senior</v>
      </c>
      <c r="C197" t="str">
        <f t="shared" si="13"/>
        <v>Data Engineer</v>
      </c>
      <c r="D197">
        <v>4.0999999999999996</v>
      </c>
      <c r="E197" t="s">
        <v>51</v>
      </c>
      <c r="F197" t="str">
        <f t="shared" si="14"/>
        <v>Mountain View</v>
      </c>
      <c r="G197" t="s">
        <v>22</v>
      </c>
      <c r="H197" t="s">
        <v>33</v>
      </c>
      <c r="I197">
        <v>190</v>
      </c>
      <c r="J197">
        <v>220</v>
      </c>
      <c r="K197">
        <v>205</v>
      </c>
      <c r="L197" t="str">
        <f t="shared" si="15"/>
        <v>&gt;$150K</v>
      </c>
      <c r="M197">
        <v>11</v>
      </c>
    </row>
    <row r="198" spans="1:13">
      <c r="A198" t="s">
        <v>266</v>
      </c>
      <c r="B198" t="str">
        <f t="shared" si="12"/>
        <v>Mid-Level</v>
      </c>
      <c r="C198" t="str">
        <f t="shared" si="13"/>
        <v>Data Analyst</v>
      </c>
      <c r="D198">
        <v>3.6</v>
      </c>
      <c r="E198" t="s">
        <v>267</v>
      </c>
      <c r="F198" t="str">
        <f t="shared" si="14"/>
        <v>Highland</v>
      </c>
      <c r="G198" t="s">
        <v>19</v>
      </c>
      <c r="H198" t="s">
        <v>268</v>
      </c>
      <c r="I198">
        <v>35</v>
      </c>
      <c r="J198">
        <v>62</v>
      </c>
      <c r="K198">
        <v>48.5</v>
      </c>
      <c r="L198" t="str">
        <f t="shared" si="15"/>
        <v>&lt;$50K</v>
      </c>
      <c r="M198">
        <v>35</v>
      </c>
    </row>
    <row r="199" spans="1:13">
      <c r="A199" t="s">
        <v>269</v>
      </c>
      <c r="B199" t="str">
        <f t="shared" si="12"/>
        <v>Mid-Level</v>
      </c>
      <c r="C199" t="str">
        <f t="shared" si="13"/>
        <v>Data Scientist</v>
      </c>
      <c r="D199">
        <v>4</v>
      </c>
      <c r="E199" t="s">
        <v>270</v>
      </c>
      <c r="F199" t="str">
        <f t="shared" si="14"/>
        <v>Burleson</v>
      </c>
      <c r="G199" t="s">
        <v>19</v>
      </c>
      <c r="H199" t="s">
        <v>15</v>
      </c>
      <c r="I199">
        <v>37</v>
      </c>
      <c r="J199">
        <v>52</v>
      </c>
      <c r="K199">
        <v>44.5</v>
      </c>
      <c r="L199" t="str">
        <f t="shared" si="15"/>
        <v>&lt;$50K</v>
      </c>
      <c r="M199">
        <v>44</v>
      </c>
    </row>
    <row r="200" spans="1:13">
      <c r="A200" t="s">
        <v>271</v>
      </c>
      <c r="B200" t="str">
        <f t="shared" si="12"/>
        <v>Mid-Level</v>
      </c>
      <c r="C200" t="str">
        <f t="shared" si="13"/>
        <v>Data Scientist</v>
      </c>
      <c r="D200">
        <v>2.4</v>
      </c>
      <c r="E200" t="s">
        <v>272</v>
      </c>
      <c r="F200" t="str">
        <f t="shared" si="14"/>
        <v>Hoopeston</v>
      </c>
      <c r="G200" t="s">
        <v>9</v>
      </c>
      <c r="H200" t="s">
        <v>273</v>
      </c>
      <c r="I200">
        <v>39</v>
      </c>
      <c r="J200">
        <v>66</v>
      </c>
      <c r="K200">
        <v>52.5</v>
      </c>
      <c r="L200" t="str">
        <f t="shared" si="15"/>
        <v>$50–75K</v>
      </c>
      <c r="M200">
        <v>-1</v>
      </c>
    </row>
    <row r="201" spans="1:13">
      <c r="A201" t="s">
        <v>274</v>
      </c>
      <c r="B201" t="str">
        <f t="shared" si="12"/>
        <v>Senior</v>
      </c>
      <c r="C201" t="str">
        <f t="shared" si="13"/>
        <v>ML Engineer</v>
      </c>
      <c r="D201">
        <v>2.6</v>
      </c>
      <c r="E201" t="s">
        <v>133</v>
      </c>
      <c r="F201" t="str">
        <f t="shared" si="14"/>
        <v>Pittsburgh</v>
      </c>
      <c r="G201" t="s">
        <v>9</v>
      </c>
      <c r="H201" t="s">
        <v>208</v>
      </c>
      <c r="I201">
        <v>81</v>
      </c>
      <c r="J201">
        <v>167</v>
      </c>
      <c r="K201">
        <v>124</v>
      </c>
      <c r="L201" t="str">
        <f t="shared" si="15"/>
        <v>$100–125K</v>
      </c>
      <c r="M201">
        <v>37</v>
      </c>
    </row>
    <row r="202" spans="1:13">
      <c r="A202" t="s">
        <v>275</v>
      </c>
      <c r="B202" t="str">
        <f t="shared" si="12"/>
        <v>Management</v>
      </c>
      <c r="C202" t="str">
        <f t="shared" si="13"/>
        <v>DS Manager</v>
      </c>
      <c r="D202">
        <v>3.5</v>
      </c>
      <c r="E202" t="s">
        <v>276</v>
      </c>
      <c r="F202" t="str">
        <f t="shared" si="14"/>
        <v>Scotts Valley</v>
      </c>
      <c r="G202" t="s">
        <v>9</v>
      </c>
      <c r="H202" t="s">
        <v>15</v>
      </c>
      <c r="I202">
        <v>42</v>
      </c>
      <c r="J202">
        <v>86</v>
      </c>
      <c r="K202">
        <v>64</v>
      </c>
      <c r="L202" t="str">
        <f t="shared" si="15"/>
        <v>$50–75K</v>
      </c>
      <c r="M202">
        <v>25</v>
      </c>
    </row>
    <row r="203" spans="1:13">
      <c r="A203" t="s">
        <v>277</v>
      </c>
      <c r="B203" t="str">
        <f t="shared" si="12"/>
        <v>Senior</v>
      </c>
      <c r="C203" t="str">
        <f t="shared" si="13"/>
        <v>Data Engineer</v>
      </c>
      <c r="D203">
        <v>3</v>
      </c>
      <c r="E203" t="s">
        <v>278</v>
      </c>
      <c r="F203" t="str">
        <f t="shared" si="14"/>
        <v>Knoxville</v>
      </c>
      <c r="G203" t="s">
        <v>14</v>
      </c>
      <c r="H203" t="s">
        <v>279</v>
      </c>
      <c r="I203">
        <v>69</v>
      </c>
      <c r="J203">
        <v>127</v>
      </c>
      <c r="K203">
        <v>98</v>
      </c>
      <c r="L203" t="str">
        <f t="shared" si="15"/>
        <v>$75–100K</v>
      </c>
      <c r="M203">
        <v>63</v>
      </c>
    </row>
    <row r="204" spans="1:13">
      <c r="A204" t="s">
        <v>280</v>
      </c>
      <c r="B204" t="str">
        <f t="shared" si="12"/>
        <v>Mid-Level</v>
      </c>
      <c r="C204" t="str">
        <f t="shared" si="13"/>
        <v>Data Scientist</v>
      </c>
      <c r="D204">
        <v>3.6</v>
      </c>
      <c r="E204" t="s">
        <v>281</v>
      </c>
      <c r="F204" t="str">
        <f t="shared" si="14"/>
        <v>Millville</v>
      </c>
      <c r="G204" t="s">
        <v>19</v>
      </c>
      <c r="H204" t="s">
        <v>15</v>
      </c>
      <c r="I204">
        <v>43</v>
      </c>
      <c r="J204">
        <v>70</v>
      </c>
      <c r="K204">
        <v>56.5</v>
      </c>
      <c r="L204" t="str">
        <f t="shared" si="15"/>
        <v>$50–75K</v>
      </c>
      <c r="M204">
        <v>86</v>
      </c>
    </row>
    <row r="205" spans="1:13">
      <c r="A205" t="s">
        <v>282</v>
      </c>
      <c r="B205" t="str">
        <f t="shared" si="12"/>
        <v>Mid-Level</v>
      </c>
      <c r="C205" t="str">
        <f t="shared" si="13"/>
        <v>Data Scientist</v>
      </c>
      <c r="D205">
        <v>3.3</v>
      </c>
      <c r="E205" t="s">
        <v>158</v>
      </c>
      <c r="F205" t="str">
        <f t="shared" si="14"/>
        <v>Milwaukee</v>
      </c>
      <c r="G205" t="s">
        <v>9</v>
      </c>
      <c r="H205" t="s">
        <v>273</v>
      </c>
      <c r="I205">
        <v>40</v>
      </c>
      <c r="J205">
        <v>68</v>
      </c>
      <c r="K205">
        <v>54</v>
      </c>
      <c r="L205" t="str">
        <f t="shared" si="15"/>
        <v>$50–75K</v>
      </c>
      <c r="M205">
        <v>57</v>
      </c>
    </row>
    <row r="206" spans="1:13">
      <c r="A206" t="s">
        <v>283</v>
      </c>
      <c r="B206" t="str">
        <f t="shared" si="12"/>
        <v>Mid-Level</v>
      </c>
      <c r="C206" t="str">
        <f t="shared" si="13"/>
        <v>Data Scientist</v>
      </c>
      <c r="D206">
        <v>2.7</v>
      </c>
      <c r="E206" t="s">
        <v>176</v>
      </c>
      <c r="F206" t="str">
        <f t="shared" si="14"/>
        <v>Rockville</v>
      </c>
      <c r="G206" t="s">
        <v>25</v>
      </c>
      <c r="H206" t="s">
        <v>45</v>
      </c>
      <c r="I206">
        <v>49</v>
      </c>
      <c r="J206">
        <v>113</v>
      </c>
      <c r="K206">
        <v>81</v>
      </c>
      <c r="L206" t="str">
        <f t="shared" si="15"/>
        <v>$75–100K</v>
      </c>
      <c r="M206">
        <v>60</v>
      </c>
    </row>
    <row r="207" spans="1:13">
      <c r="A207" t="s">
        <v>284</v>
      </c>
      <c r="B207" t="str">
        <f t="shared" si="12"/>
        <v>Senior</v>
      </c>
      <c r="C207" t="str">
        <f t="shared" si="13"/>
        <v>Data Engineer</v>
      </c>
      <c r="D207">
        <v>3.4</v>
      </c>
      <c r="E207" t="s">
        <v>59</v>
      </c>
      <c r="F207" t="str">
        <f t="shared" si="14"/>
        <v>Chicago</v>
      </c>
      <c r="G207" t="s">
        <v>19</v>
      </c>
      <c r="H207" t="s">
        <v>285</v>
      </c>
      <c r="I207">
        <v>75</v>
      </c>
      <c r="J207">
        <v>140</v>
      </c>
      <c r="K207">
        <v>107.5</v>
      </c>
      <c r="L207" t="str">
        <f t="shared" si="15"/>
        <v>$100–125K</v>
      </c>
      <c r="M207">
        <v>16</v>
      </c>
    </row>
    <row r="208" spans="1:13">
      <c r="A208" t="s">
        <v>58</v>
      </c>
      <c r="B208" t="str">
        <f t="shared" si="12"/>
        <v>Mid-Level</v>
      </c>
      <c r="C208" t="str">
        <f t="shared" si="13"/>
        <v>Data Scientist</v>
      </c>
      <c r="D208">
        <v>3.8</v>
      </c>
      <c r="E208" t="s">
        <v>59</v>
      </c>
      <c r="F208" t="str">
        <f t="shared" si="14"/>
        <v>Chicago</v>
      </c>
      <c r="G208" t="s">
        <v>9</v>
      </c>
      <c r="H208" t="s">
        <v>60</v>
      </c>
      <c r="I208">
        <v>86</v>
      </c>
      <c r="J208">
        <v>139</v>
      </c>
      <c r="K208">
        <v>112.5</v>
      </c>
      <c r="L208" t="str">
        <f t="shared" si="15"/>
        <v>$100–125K</v>
      </c>
      <c r="M208">
        <v>26</v>
      </c>
    </row>
    <row r="209" spans="1:13">
      <c r="A209" t="s">
        <v>7</v>
      </c>
      <c r="B209" t="str">
        <f t="shared" si="12"/>
        <v>Mid-Level</v>
      </c>
      <c r="C209" t="str">
        <f t="shared" si="13"/>
        <v>Data Scientist</v>
      </c>
      <c r="D209">
        <v>3.7</v>
      </c>
      <c r="E209" t="s">
        <v>37</v>
      </c>
      <c r="F209" t="str">
        <f t="shared" si="14"/>
        <v>Herndon</v>
      </c>
      <c r="G209" t="s">
        <v>14</v>
      </c>
      <c r="H209" t="s">
        <v>10</v>
      </c>
      <c r="I209">
        <v>66</v>
      </c>
      <c r="J209">
        <v>112</v>
      </c>
      <c r="K209">
        <v>89</v>
      </c>
      <c r="L209" t="str">
        <f t="shared" si="15"/>
        <v>$75–100K</v>
      </c>
      <c r="M209">
        <v>26</v>
      </c>
    </row>
    <row r="210" spans="1:13">
      <c r="A210" t="s">
        <v>286</v>
      </c>
      <c r="B210" t="str">
        <f t="shared" si="12"/>
        <v>Senior</v>
      </c>
      <c r="C210" t="str">
        <f t="shared" si="13"/>
        <v>Research Scientist</v>
      </c>
      <c r="D210">
        <v>4.8</v>
      </c>
      <c r="E210" t="s">
        <v>287</v>
      </c>
      <c r="F210" t="str">
        <f t="shared" si="14"/>
        <v>Sheboygan</v>
      </c>
      <c r="G210" t="s">
        <v>19</v>
      </c>
      <c r="H210" t="s">
        <v>55</v>
      </c>
      <c r="I210">
        <v>76</v>
      </c>
      <c r="J210">
        <v>125</v>
      </c>
      <c r="K210">
        <v>100.5</v>
      </c>
      <c r="L210" t="str">
        <f t="shared" si="15"/>
        <v>$100–125K</v>
      </c>
      <c r="M210">
        <v>96</v>
      </c>
    </row>
    <row r="211" spans="1:13">
      <c r="A211" t="s">
        <v>288</v>
      </c>
      <c r="B211" t="str">
        <f t="shared" si="12"/>
        <v>Mid-Level</v>
      </c>
      <c r="C211" t="str">
        <f t="shared" si="13"/>
        <v>Data Analyst</v>
      </c>
      <c r="D211">
        <v>3.8</v>
      </c>
      <c r="E211" t="s">
        <v>21</v>
      </c>
      <c r="F211" t="str">
        <f t="shared" si="14"/>
        <v>New York</v>
      </c>
      <c r="G211" t="s">
        <v>19</v>
      </c>
      <c r="H211" t="s">
        <v>201</v>
      </c>
      <c r="I211">
        <v>44</v>
      </c>
      <c r="J211">
        <v>86</v>
      </c>
      <c r="K211">
        <v>65</v>
      </c>
      <c r="L211" t="str">
        <f t="shared" si="15"/>
        <v>$50–75K</v>
      </c>
      <c r="M211">
        <v>19</v>
      </c>
    </row>
    <row r="212" spans="1:13">
      <c r="A212" t="s">
        <v>289</v>
      </c>
      <c r="B212" t="str">
        <f t="shared" si="12"/>
        <v>Mid-Level</v>
      </c>
      <c r="C212" t="str">
        <f t="shared" si="13"/>
        <v>Data Scientist</v>
      </c>
      <c r="D212">
        <v>3.4</v>
      </c>
      <c r="E212" t="s">
        <v>145</v>
      </c>
      <c r="F212" t="str">
        <f t="shared" si="14"/>
        <v>New Orleans</v>
      </c>
      <c r="G212" t="s">
        <v>14</v>
      </c>
      <c r="H212" t="s">
        <v>156</v>
      </c>
      <c r="I212">
        <v>31</v>
      </c>
      <c r="J212">
        <v>52</v>
      </c>
      <c r="K212">
        <v>41.5</v>
      </c>
      <c r="L212" t="str">
        <f t="shared" si="15"/>
        <v>&lt;$50K</v>
      </c>
      <c r="M212">
        <v>91</v>
      </c>
    </row>
    <row r="213" spans="1:13">
      <c r="A213" t="s">
        <v>7</v>
      </c>
      <c r="B213" t="str">
        <f t="shared" si="12"/>
        <v>Mid-Level</v>
      </c>
      <c r="C213" t="str">
        <f t="shared" si="13"/>
        <v>Data Scientist</v>
      </c>
      <c r="D213">
        <v>4.3</v>
      </c>
      <c r="E213" t="s">
        <v>24</v>
      </c>
      <c r="F213" t="str">
        <f t="shared" si="14"/>
        <v>Dallas</v>
      </c>
      <c r="G213" t="s">
        <v>25</v>
      </c>
      <c r="H213" t="s">
        <v>30</v>
      </c>
      <c r="I213">
        <v>53</v>
      </c>
      <c r="J213">
        <v>92</v>
      </c>
      <c r="K213">
        <v>72.5</v>
      </c>
      <c r="L213" t="str">
        <f t="shared" si="15"/>
        <v>$50–75K</v>
      </c>
      <c r="M213">
        <v>22</v>
      </c>
    </row>
    <row r="214" spans="1:13">
      <c r="A214" t="s">
        <v>169</v>
      </c>
      <c r="B214" t="str">
        <f t="shared" si="12"/>
        <v>Senior</v>
      </c>
      <c r="C214" t="str">
        <f t="shared" si="13"/>
        <v>Data Analyst</v>
      </c>
      <c r="D214">
        <v>4.8</v>
      </c>
      <c r="E214" t="s">
        <v>16</v>
      </c>
      <c r="F214" t="str">
        <f t="shared" si="14"/>
        <v>Clearwater</v>
      </c>
      <c r="G214" t="s">
        <v>9</v>
      </c>
      <c r="H214" t="s">
        <v>17</v>
      </c>
      <c r="I214">
        <v>44</v>
      </c>
      <c r="J214">
        <v>78</v>
      </c>
      <c r="K214">
        <v>61</v>
      </c>
      <c r="L214" t="str">
        <f t="shared" si="15"/>
        <v>$50–75K</v>
      </c>
      <c r="M214">
        <v>11</v>
      </c>
    </row>
    <row r="215" spans="1:13">
      <c r="A215" t="s">
        <v>215</v>
      </c>
      <c r="B215" t="str">
        <f t="shared" si="12"/>
        <v>Management</v>
      </c>
      <c r="C215" t="str">
        <f t="shared" si="13"/>
        <v>DS Manager</v>
      </c>
      <c r="D215">
        <v>3.4</v>
      </c>
      <c r="E215" t="s">
        <v>216</v>
      </c>
      <c r="F215" t="str">
        <f t="shared" si="14"/>
        <v>Ewing</v>
      </c>
      <c r="G215" t="s">
        <v>19</v>
      </c>
      <c r="H215" t="s">
        <v>86</v>
      </c>
      <c r="I215">
        <v>85</v>
      </c>
      <c r="J215">
        <v>134</v>
      </c>
      <c r="K215">
        <v>109.5</v>
      </c>
      <c r="L215" t="str">
        <f t="shared" si="15"/>
        <v>$100–125K</v>
      </c>
      <c r="M215">
        <v>175</v>
      </c>
    </row>
    <row r="216" spans="1:13">
      <c r="A216" t="s">
        <v>80</v>
      </c>
      <c r="B216" t="str">
        <f t="shared" si="12"/>
        <v>Mid-Level</v>
      </c>
      <c r="C216" t="str">
        <f t="shared" si="13"/>
        <v>Data Engineer</v>
      </c>
      <c r="D216">
        <v>3.9</v>
      </c>
      <c r="E216" t="s">
        <v>44</v>
      </c>
      <c r="F216" t="str">
        <f t="shared" si="14"/>
        <v>Cambridge</v>
      </c>
      <c r="G216" t="s">
        <v>22</v>
      </c>
      <c r="H216" t="s">
        <v>33</v>
      </c>
      <c r="I216">
        <v>59</v>
      </c>
      <c r="J216">
        <v>110</v>
      </c>
      <c r="K216">
        <v>84.5</v>
      </c>
      <c r="L216" t="str">
        <f t="shared" si="15"/>
        <v>$75–100K</v>
      </c>
      <c r="M216">
        <v>16</v>
      </c>
    </row>
    <row r="217" spans="1:13">
      <c r="A217" t="s">
        <v>7</v>
      </c>
      <c r="B217" t="str">
        <f t="shared" si="12"/>
        <v>Mid-Level</v>
      </c>
      <c r="C217" t="str">
        <f t="shared" si="13"/>
        <v>Data Scientist</v>
      </c>
      <c r="D217">
        <v>3.4</v>
      </c>
      <c r="E217" t="s">
        <v>59</v>
      </c>
      <c r="F217" t="str">
        <f t="shared" si="14"/>
        <v>Chicago</v>
      </c>
      <c r="G217" t="s">
        <v>22</v>
      </c>
      <c r="H217" t="s">
        <v>23</v>
      </c>
      <c r="I217">
        <v>64</v>
      </c>
      <c r="J217">
        <v>111</v>
      </c>
      <c r="K217">
        <v>87.5</v>
      </c>
      <c r="L217" t="str">
        <f t="shared" si="15"/>
        <v>$75–100K</v>
      </c>
      <c r="M217">
        <v>29</v>
      </c>
    </row>
    <row r="218" spans="1:13">
      <c r="A218" t="s">
        <v>43</v>
      </c>
      <c r="B218" t="str">
        <f t="shared" si="12"/>
        <v>Mid-Level</v>
      </c>
      <c r="C218" t="str">
        <f t="shared" si="13"/>
        <v>Data Analyst</v>
      </c>
      <c r="D218">
        <v>3.1</v>
      </c>
      <c r="E218" t="s">
        <v>290</v>
      </c>
      <c r="F218" t="str">
        <f t="shared" si="14"/>
        <v>San Mateo</v>
      </c>
      <c r="G218" t="s">
        <v>19</v>
      </c>
      <c r="H218" t="s">
        <v>291</v>
      </c>
      <c r="I218">
        <v>65</v>
      </c>
      <c r="J218">
        <v>120</v>
      </c>
      <c r="K218">
        <v>92.5</v>
      </c>
      <c r="L218" t="str">
        <f t="shared" si="15"/>
        <v>$75–100K</v>
      </c>
      <c r="M218">
        <v>24</v>
      </c>
    </row>
    <row r="219" spans="1:13">
      <c r="A219" t="s">
        <v>292</v>
      </c>
      <c r="B219" t="str">
        <f t="shared" si="12"/>
        <v>Junior</v>
      </c>
      <c r="C219" t="str">
        <f t="shared" si="13"/>
        <v>Data Scientist</v>
      </c>
      <c r="D219">
        <v>3.2</v>
      </c>
      <c r="E219" t="s">
        <v>154</v>
      </c>
      <c r="F219" t="str">
        <f t="shared" si="14"/>
        <v>McLean</v>
      </c>
      <c r="G219" t="s">
        <v>38</v>
      </c>
      <c r="H219" t="s">
        <v>156</v>
      </c>
      <c r="I219">
        <v>60</v>
      </c>
      <c r="J219">
        <v>103</v>
      </c>
      <c r="K219">
        <v>81.5</v>
      </c>
      <c r="L219" t="str">
        <f t="shared" si="15"/>
        <v>$75–100K</v>
      </c>
      <c r="M219">
        <v>63</v>
      </c>
    </row>
    <row r="220" spans="1:13">
      <c r="A220" t="s">
        <v>293</v>
      </c>
      <c r="B220" t="str">
        <f t="shared" si="12"/>
        <v>Mid-Level</v>
      </c>
      <c r="C220" t="str">
        <f t="shared" si="13"/>
        <v>Data Scientist</v>
      </c>
      <c r="D220">
        <v>4.3</v>
      </c>
      <c r="E220" t="s">
        <v>294</v>
      </c>
      <c r="F220" t="str">
        <f t="shared" si="14"/>
        <v>Dayton</v>
      </c>
      <c r="G220" t="s">
        <v>19</v>
      </c>
      <c r="H220" t="s">
        <v>295</v>
      </c>
      <c r="I220">
        <v>53</v>
      </c>
      <c r="J220">
        <v>105</v>
      </c>
      <c r="K220">
        <v>79</v>
      </c>
      <c r="L220" t="str">
        <f t="shared" si="15"/>
        <v>$75–100K</v>
      </c>
      <c r="M220">
        <v>40</v>
      </c>
    </row>
    <row r="221" spans="1:13">
      <c r="A221" t="s">
        <v>90</v>
      </c>
      <c r="B221" t="str">
        <f t="shared" si="12"/>
        <v>Senior</v>
      </c>
      <c r="C221" t="str">
        <f t="shared" si="13"/>
        <v>Data Scientist</v>
      </c>
      <c r="D221">
        <v>3.6</v>
      </c>
      <c r="E221" t="s">
        <v>102</v>
      </c>
      <c r="F221" t="str">
        <f t="shared" si="14"/>
        <v>Boston</v>
      </c>
      <c r="G221" t="s">
        <v>38</v>
      </c>
      <c r="H221" t="s">
        <v>55</v>
      </c>
      <c r="I221">
        <v>124</v>
      </c>
      <c r="J221">
        <v>204</v>
      </c>
      <c r="K221">
        <v>164</v>
      </c>
      <c r="L221" t="str">
        <f t="shared" si="15"/>
        <v>&gt;$150K</v>
      </c>
      <c r="M221">
        <v>170</v>
      </c>
    </row>
    <row r="222" spans="1:13">
      <c r="A222" t="s">
        <v>218</v>
      </c>
      <c r="B222" t="str">
        <f t="shared" si="12"/>
        <v>Senior</v>
      </c>
      <c r="C222" t="str">
        <f t="shared" si="13"/>
        <v>Data Scientist</v>
      </c>
      <c r="D222">
        <v>3.9</v>
      </c>
      <c r="E222" t="s">
        <v>219</v>
      </c>
      <c r="F222" t="str">
        <f t="shared" si="14"/>
        <v>South San Francisco</v>
      </c>
      <c r="G222" t="s">
        <v>14</v>
      </c>
      <c r="H222" t="s">
        <v>45</v>
      </c>
      <c r="I222">
        <v>131</v>
      </c>
      <c r="J222">
        <v>207</v>
      </c>
      <c r="K222">
        <v>169</v>
      </c>
      <c r="L222" t="str">
        <f t="shared" si="15"/>
        <v>&gt;$150K</v>
      </c>
      <c r="M222">
        <v>45</v>
      </c>
    </row>
    <row r="223" spans="1:13">
      <c r="A223" t="s">
        <v>78</v>
      </c>
      <c r="B223" t="str">
        <f t="shared" si="12"/>
        <v>Senior</v>
      </c>
      <c r="C223" t="str">
        <f t="shared" si="13"/>
        <v>Data Scientist</v>
      </c>
      <c r="D223">
        <v>3.8</v>
      </c>
      <c r="E223" t="s">
        <v>220</v>
      </c>
      <c r="F223" t="str">
        <f t="shared" si="14"/>
        <v>Cupertino</v>
      </c>
      <c r="G223" t="s">
        <v>38</v>
      </c>
      <c r="H223" t="s">
        <v>71</v>
      </c>
      <c r="I223">
        <v>110</v>
      </c>
      <c r="J223">
        <v>174</v>
      </c>
      <c r="K223">
        <v>142</v>
      </c>
      <c r="L223" t="str">
        <f t="shared" si="15"/>
        <v>$125–150K</v>
      </c>
      <c r="M223">
        <v>25</v>
      </c>
    </row>
    <row r="224" spans="1:13">
      <c r="A224" t="s">
        <v>43</v>
      </c>
      <c r="B224" t="str">
        <f t="shared" si="12"/>
        <v>Mid-Level</v>
      </c>
      <c r="C224" t="str">
        <f t="shared" si="13"/>
        <v>Data Analyst</v>
      </c>
      <c r="D224">
        <v>2.8</v>
      </c>
      <c r="E224" t="s">
        <v>296</v>
      </c>
      <c r="F224" t="str">
        <f t="shared" si="14"/>
        <v>Parlier</v>
      </c>
      <c r="G224" t="s">
        <v>9</v>
      </c>
      <c r="H224" t="s">
        <v>297</v>
      </c>
      <c r="I224">
        <v>33</v>
      </c>
      <c r="J224">
        <v>62</v>
      </c>
      <c r="K224">
        <v>47.5</v>
      </c>
      <c r="L224" t="str">
        <f t="shared" si="15"/>
        <v>&lt;$50K</v>
      </c>
      <c r="M224">
        <v>-1</v>
      </c>
    </row>
    <row r="225" spans="1:13">
      <c r="A225" t="s">
        <v>221</v>
      </c>
      <c r="B225" t="str">
        <f t="shared" si="12"/>
        <v>Mid-Level</v>
      </c>
      <c r="C225" t="str">
        <f t="shared" si="13"/>
        <v>Data Scientist</v>
      </c>
      <c r="D225">
        <v>3.7</v>
      </c>
      <c r="E225" t="s">
        <v>102</v>
      </c>
      <c r="F225" t="str">
        <f t="shared" si="14"/>
        <v>Boston</v>
      </c>
      <c r="G225" t="s">
        <v>14</v>
      </c>
      <c r="H225" t="s">
        <v>45</v>
      </c>
      <c r="I225">
        <v>52</v>
      </c>
      <c r="J225">
        <v>101</v>
      </c>
      <c r="K225">
        <v>76.5</v>
      </c>
      <c r="L225" t="str">
        <f t="shared" si="15"/>
        <v>$75–100K</v>
      </c>
      <c r="M225">
        <v>240</v>
      </c>
    </row>
    <row r="226" spans="1:13">
      <c r="A226" t="s">
        <v>43</v>
      </c>
      <c r="B226" t="str">
        <f t="shared" si="12"/>
        <v>Mid-Level</v>
      </c>
      <c r="C226" t="str">
        <f t="shared" si="13"/>
        <v>Data Analyst</v>
      </c>
      <c r="D226">
        <v>3.4</v>
      </c>
      <c r="E226" t="s">
        <v>34</v>
      </c>
      <c r="F226" t="str">
        <f t="shared" si="14"/>
        <v>San Francisco</v>
      </c>
      <c r="G226" t="s">
        <v>22</v>
      </c>
      <c r="H226" t="s">
        <v>52</v>
      </c>
      <c r="I226">
        <v>48</v>
      </c>
      <c r="J226">
        <v>90</v>
      </c>
      <c r="K226">
        <v>69</v>
      </c>
      <c r="L226" t="str">
        <f t="shared" si="15"/>
        <v>$50–75K</v>
      </c>
      <c r="M226">
        <v>8</v>
      </c>
    </row>
    <row r="227" spans="1:13">
      <c r="A227" t="s">
        <v>43</v>
      </c>
      <c r="B227" t="str">
        <f t="shared" si="12"/>
        <v>Mid-Level</v>
      </c>
      <c r="C227" t="str">
        <f t="shared" si="13"/>
        <v>Data Analyst</v>
      </c>
      <c r="D227">
        <v>4</v>
      </c>
      <c r="E227" t="s">
        <v>298</v>
      </c>
      <c r="F227" t="str">
        <f t="shared" si="14"/>
        <v>Meridian</v>
      </c>
      <c r="G227" t="s">
        <v>25</v>
      </c>
      <c r="H227" t="s">
        <v>76</v>
      </c>
      <c r="I227">
        <v>34</v>
      </c>
      <c r="J227">
        <v>64</v>
      </c>
      <c r="K227">
        <v>49</v>
      </c>
      <c r="L227" t="str">
        <f t="shared" si="15"/>
        <v>&lt;$50K</v>
      </c>
      <c r="M227">
        <v>37</v>
      </c>
    </row>
    <row r="228" spans="1:13">
      <c r="A228" t="s">
        <v>224</v>
      </c>
      <c r="B228" t="str">
        <f t="shared" si="12"/>
        <v>Mid-Level</v>
      </c>
      <c r="C228" t="str">
        <f t="shared" si="13"/>
        <v>Data Scientist</v>
      </c>
      <c r="D228">
        <v>3.5</v>
      </c>
      <c r="E228" t="s">
        <v>28</v>
      </c>
      <c r="F228" t="str">
        <f t="shared" si="14"/>
        <v>San Jose</v>
      </c>
      <c r="G228" t="s">
        <v>14</v>
      </c>
      <c r="H228" t="s">
        <v>76</v>
      </c>
      <c r="I228">
        <v>132</v>
      </c>
      <c r="J228">
        <v>211</v>
      </c>
      <c r="K228">
        <v>171.5</v>
      </c>
      <c r="L228" t="str">
        <f t="shared" si="15"/>
        <v>&gt;$150K</v>
      </c>
      <c r="M228">
        <v>51</v>
      </c>
    </row>
    <row r="229" spans="1:13">
      <c r="A229" t="s">
        <v>222</v>
      </c>
      <c r="B229" t="str">
        <f t="shared" si="12"/>
        <v>Mid-Level</v>
      </c>
      <c r="C229" t="str">
        <f t="shared" si="13"/>
        <v>Data Scientist</v>
      </c>
      <c r="D229">
        <v>3.8</v>
      </c>
      <c r="E229" t="s">
        <v>223</v>
      </c>
      <c r="F229" t="str">
        <f t="shared" si="14"/>
        <v>Frederick</v>
      </c>
      <c r="G229" t="s">
        <v>9</v>
      </c>
      <c r="H229" t="s">
        <v>55</v>
      </c>
      <c r="I229">
        <v>81</v>
      </c>
      <c r="J229">
        <v>133</v>
      </c>
      <c r="K229">
        <v>107</v>
      </c>
      <c r="L229" t="str">
        <f t="shared" si="15"/>
        <v>$100–125K</v>
      </c>
      <c r="M229">
        <v>40</v>
      </c>
    </row>
    <row r="230" spans="1:13">
      <c r="A230" t="s">
        <v>299</v>
      </c>
      <c r="B230" t="str">
        <f t="shared" si="12"/>
        <v>Mid-Level</v>
      </c>
      <c r="C230" t="str">
        <f t="shared" si="13"/>
        <v>Data Analyst</v>
      </c>
      <c r="D230">
        <v>3.7</v>
      </c>
      <c r="E230" t="s">
        <v>300</v>
      </c>
      <c r="F230" t="str">
        <f t="shared" si="14"/>
        <v>Cherry Hill</v>
      </c>
      <c r="G230" t="s">
        <v>25</v>
      </c>
      <c r="H230" t="s">
        <v>52</v>
      </c>
      <c r="I230">
        <v>42</v>
      </c>
      <c r="J230">
        <v>76</v>
      </c>
      <c r="K230">
        <v>59</v>
      </c>
      <c r="L230" t="str">
        <f t="shared" si="15"/>
        <v>$50–75K</v>
      </c>
      <c r="M230">
        <v>25</v>
      </c>
    </row>
    <row r="231" spans="1:13">
      <c r="A231" t="s">
        <v>7</v>
      </c>
      <c r="B231" t="str">
        <f t="shared" si="12"/>
        <v>Mid-Level</v>
      </c>
      <c r="C231" t="str">
        <f t="shared" si="13"/>
        <v>Data Scientist</v>
      </c>
      <c r="D231">
        <v>3.5</v>
      </c>
      <c r="E231" t="s">
        <v>125</v>
      </c>
      <c r="F231" t="str">
        <f t="shared" si="14"/>
        <v>Indianapolis</v>
      </c>
      <c r="G231" t="s">
        <v>25</v>
      </c>
      <c r="H231" t="s">
        <v>74</v>
      </c>
      <c r="I231">
        <v>66</v>
      </c>
      <c r="J231">
        <v>111</v>
      </c>
      <c r="K231">
        <v>88.5</v>
      </c>
      <c r="L231" t="str">
        <f t="shared" si="15"/>
        <v>$75–100K</v>
      </c>
      <c r="M231">
        <v>2</v>
      </c>
    </row>
    <row r="232" spans="1:13">
      <c r="A232" t="s">
        <v>225</v>
      </c>
      <c r="B232" t="str">
        <f t="shared" si="12"/>
        <v>Mid-Level</v>
      </c>
      <c r="C232" t="str">
        <f t="shared" si="13"/>
        <v>Data Engineer</v>
      </c>
      <c r="D232">
        <v>4.2</v>
      </c>
      <c r="E232" t="s">
        <v>203</v>
      </c>
      <c r="F232" t="str">
        <f t="shared" si="14"/>
        <v>Riverton</v>
      </c>
      <c r="G232" t="s">
        <v>14</v>
      </c>
      <c r="H232" t="s">
        <v>205</v>
      </c>
      <c r="I232">
        <v>74</v>
      </c>
      <c r="J232">
        <v>140</v>
      </c>
      <c r="K232">
        <v>107</v>
      </c>
      <c r="L232" t="str">
        <f t="shared" si="15"/>
        <v>$100–125K</v>
      </c>
      <c r="M232">
        <v>-1</v>
      </c>
    </row>
    <row r="233" spans="1:13">
      <c r="A233" t="s">
        <v>62</v>
      </c>
      <c r="B233" t="str">
        <f t="shared" si="12"/>
        <v>Mid-Level</v>
      </c>
      <c r="C233" t="str">
        <f t="shared" si="13"/>
        <v>Data Scientist</v>
      </c>
      <c r="D233">
        <v>4</v>
      </c>
      <c r="E233" t="s">
        <v>44</v>
      </c>
      <c r="F233" t="str">
        <f t="shared" si="14"/>
        <v>Cambridge</v>
      </c>
      <c r="G233" t="s">
        <v>14</v>
      </c>
      <c r="H233" t="s">
        <v>45</v>
      </c>
      <c r="I233">
        <v>63</v>
      </c>
      <c r="J233">
        <v>110</v>
      </c>
      <c r="K233">
        <v>86.5</v>
      </c>
      <c r="L233" t="str">
        <f t="shared" si="15"/>
        <v>$75–100K</v>
      </c>
      <c r="M233">
        <v>172</v>
      </c>
    </row>
    <row r="234" spans="1:13">
      <c r="A234" t="s">
        <v>7</v>
      </c>
      <c r="B234" t="str">
        <f t="shared" si="12"/>
        <v>Mid-Level</v>
      </c>
      <c r="C234" t="str">
        <f t="shared" si="13"/>
        <v>Data Scientist</v>
      </c>
      <c r="D234">
        <v>4.3</v>
      </c>
      <c r="E234" t="s">
        <v>61</v>
      </c>
      <c r="F234" t="str">
        <f t="shared" si="14"/>
        <v>Louisville</v>
      </c>
      <c r="G234" t="s">
        <v>22</v>
      </c>
      <c r="H234" t="s">
        <v>60</v>
      </c>
      <c r="I234">
        <v>63</v>
      </c>
      <c r="J234">
        <v>105</v>
      </c>
      <c r="K234">
        <v>84</v>
      </c>
      <c r="L234" t="str">
        <f t="shared" si="15"/>
        <v>$75–100K</v>
      </c>
      <c r="M234">
        <v>86</v>
      </c>
    </row>
    <row r="235" spans="1:13">
      <c r="A235" t="s">
        <v>301</v>
      </c>
      <c r="B235" t="str">
        <f t="shared" si="12"/>
        <v>Mid-Level</v>
      </c>
      <c r="C235" t="str">
        <f t="shared" si="13"/>
        <v>Data Scientist</v>
      </c>
      <c r="D235">
        <v>4.7</v>
      </c>
      <c r="E235" t="s">
        <v>21</v>
      </c>
      <c r="F235" t="str">
        <f t="shared" si="14"/>
        <v>New York</v>
      </c>
      <c r="G235" t="s">
        <v>25</v>
      </c>
      <c r="H235" t="s">
        <v>30</v>
      </c>
      <c r="I235">
        <v>91</v>
      </c>
      <c r="J235">
        <v>138</v>
      </c>
      <c r="K235">
        <v>114.5</v>
      </c>
      <c r="L235" t="str">
        <f t="shared" si="15"/>
        <v>$100–125K</v>
      </c>
      <c r="M235">
        <v>29</v>
      </c>
    </row>
    <row r="236" spans="1:13">
      <c r="A236" t="s">
        <v>226</v>
      </c>
      <c r="B236" t="str">
        <f t="shared" si="12"/>
        <v>Senior</v>
      </c>
      <c r="C236" t="str">
        <f t="shared" si="13"/>
        <v>Data Scientist</v>
      </c>
      <c r="D236">
        <v>3.5</v>
      </c>
      <c r="E236" t="s">
        <v>82</v>
      </c>
      <c r="F236" t="str">
        <f t="shared" si="14"/>
        <v>Marlborough</v>
      </c>
      <c r="G236" t="s">
        <v>19</v>
      </c>
      <c r="H236" t="s">
        <v>45</v>
      </c>
      <c r="I236">
        <v>100</v>
      </c>
      <c r="J236">
        <v>190</v>
      </c>
      <c r="K236">
        <v>145</v>
      </c>
      <c r="L236" t="str">
        <f t="shared" si="15"/>
        <v>$125–150K</v>
      </c>
      <c r="M236">
        <v>11</v>
      </c>
    </row>
    <row r="237" spans="1:13">
      <c r="A237" t="s">
        <v>80</v>
      </c>
      <c r="B237" t="str">
        <f t="shared" si="12"/>
        <v>Mid-Level</v>
      </c>
      <c r="C237" t="str">
        <f t="shared" si="13"/>
        <v>Data Engineer</v>
      </c>
      <c r="D237">
        <v>4.4000000000000004</v>
      </c>
      <c r="E237" t="s">
        <v>302</v>
      </c>
      <c r="F237" t="str">
        <f t="shared" si="14"/>
        <v>Nashville</v>
      </c>
      <c r="G237" t="s">
        <v>19</v>
      </c>
      <c r="H237" t="s">
        <v>33</v>
      </c>
      <c r="I237">
        <v>62</v>
      </c>
      <c r="J237">
        <v>114</v>
      </c>
      <c r="K237">
        <v>88</v>
      </c>
      <c r="L237" t="str">
        <f t="shared" si="15"/>
        <v>$75–100K</v>
      </c>
      <c r="M237">
        <v>15</v>
      </c>
    </row>
    <row r="238" spans="1:13">
      <c r="A238" t="s">
        <v>303</v>
      </c>
      <c r="B238" t="str">
        <f t="shared" si="12"/>
        <v>Mid-Level</v>
      </c>
      <c r="C238" t="str">
        <f t="shared" si="13"/>
        <v>Data Engineer</v>
      </c>
      <c r="D238">
        <v>4.0999999999999996</v>
      </c>
      <c r="E238" t="s">
        <v>59</v>
      </c>
      <c r="F238" t="str">
        <f t="shared" si="14"/>
        <v>Chicago</v>
      </c>
      <c r="G238" t="s">
        <v>9</v>
      </c>
      <c r="H238" t="s">
        <v>33</v>
      </c>
      <c r="I238">
        <v>71</v>
      </c>
      <c r="J238">
        <v>129</v>
      </c>
      <c r="K238">
        <v>100</v>
      </c>
      <c r="L238" t="str">
        <f t="shared" si="15"/>
        <v>$100–125K</v>
      </c>
      <c r="M238">
        <v>20</v>
      </c>
    </row>
    <row r="239" spans="1:13">
      <c r="A239" t="s">
        <v>169</v>
      </c>
      <c r="B239" t="str">
        <f t="shared" si="12"/>
        <v>Senior</v>
      </c>
      <c r="C239" t="str">
        <f t="shared" si="13"/>
        <v>Data Analyst</v>
      </c>
      <c r="D239">
        <v>2.9</v>
      </c>
      <c r="E239" t="s">
        <v>37</v>
      </c>
      <c r="F239" t="str">
        <f t="shared" si="14"/>
        <v>Herndon</v>
      </c>
      <c r="G239" t="s">
        <v>25</v>
      </c>
      <c r="H239" t="s">
        <v>208</v>
      </c>
      <c r="I239">
        <v>43</v>
      </c>
      <c r="J239">
        <v>80</v>
      </c>
      <c r="K239">
        <v>61.5</v>
      </c>
      <c r="L239" t="str">
        <f t="shared" si="15"/>
        <v>$50–75K</v>
      </c>
      <c r="M239">
        <v>28</v>
      </c>
    </row>
    <row r="240" spans="1:13">
      <c r="A240" t="s">
        <v>7</v>
      </c>
      <c r="B240" t="str">
        <f t="shared" si="12"/>
        <v>Mid-Level</v>
      </c>
      <c r="C240" t="str">
        <f t="shared" si="13"/>
        <v>Data Scientist</v>
      </c>
      <c r="D240">
        <v>2.5</v>
      </c>
      <c r="E240" t="s">
        <v>304</v>
      </c>
      <c r="F240" t="str">
        <f t="shared" si="14"/>
        <v>Portland</v>
      </c>
      <c r="G240" t="s">
        <v>19</v>
      </c>
      <c r="H240" t="s">
        <v>23</v>
      </c>
      <c r="I240">
        <v>74</v>
      </c>
      <c r="J240">
        <v>119</v>
      </c>
      <c r="K240">
        <v>96.5</v>
      </c>
      <c r="L240" t="str">
        <f t="shared" si="15"/>
        <v>$75–100K</v>
      </c>
      <c r="M240">
        <v>22</v>
      </c>
    </row>
    <row r="241" spans="1:13">
      <c r="A241" t="s">
        <v>305</v>
      </c>
      <c r="B241" t="str">
        <f t="shared" si="12"/>
        <v>Mid-Level</v>
      </c>
      <c r="C241" t="str">
        <f t="shared" si="13"/>
        <v>Data Analyst</v>
      </c>
      <c r="D241">
        <v>4.2</v>
      </c>
      <c r="E241" t="s">
        <v>177</v>
      </c>
      <c r="F241" t="str">
        <f t="shared" si="14"/>
        <v>Minneapolis</v>
      </c>
      <c r="G241" t="s">
        <v>25</v>
      </c>
      <c r="H241" t="s">
        <v>30</v>
      </c>
      <c r="I241">
        <v>55</v>
      </c>
      <c r="J241">
        <v>97</v>
      </c>
      <c r="K241">
        <v>76</v>
      </c>
      <c r="L241" t="str">
        <f t="shared" si="15"/>
        <v>$75–100K</v>
      </c>
      <c r="M241">
        <v>29</v>
      </c>
    </row>
    <row r="242" spans="1:13">
      <c r="A242" t="s">
        <v>7</v>
      </c>
      <c r="B242" t="str">
        <f t="shared" si="12"/>
        <v>Mid-Level</v>
      </c>
      <c r="C242" t="str">
        <f t="shared" si="13"/>
        <v>Data Scientist</v>
      </c>
      <c r="D242">
        <v>3.9</v>
      </c>
      <c r="E242" t="s">
        <v>306</v>
      </c>
      <c r="F242" t="str">
        <f t="shared" si="14"/>
        <v>Port Washington</v>
      </c>
      <c r="G242" t="s">
        <v>19</v>
      </c>
      <c r="H242" t="s">
        <v>39</v>
      </c>
      <c r="I242">
        <v>15</v>
      </c>
      <c r="J242">
        <v>16</v>
      </c>
      <c r="K242">
        <v>15.5</v>
      </c>
      <c r="L242" t="str">
        <f t="shared" si="15"/>
        <v>&lt;$50K</v>
      </c>
      <c r="M242">
        <v>55</v>
      </c>
    </row>
    <row r="243" spans="1:13">
      <c r="A243" t="s">
        <v>7</v>
      </c>
      <c r="B243" t="str">
        <f t="shared" si="12"/>
        <v>Mid-Level</v>
      </c>
      <c r="C243" t="str">
        <f t="shared" si="13"/>
        <v>Data Scientist</v>
      </c>
      <c r="D243">
        <v>4.3</v>
      </c>
      <c r="E243" t="s">
        <v>307</v>
      </c>
      <c r="F243" t="str">
        <f t="shared" si="14"/>
        <v>Austin</v>
      </c>
      <c r="G243" s="1">
        <v>18264</v>
      </c>
      <c r="H243" t="s">
        <v>23</v>
      </c>
      <c r="I243">
        <v>61</v>
      </c>
      <c r="J243">
        <v>106</v>
      </c>
      <c r="K243">
        <v>83.5</v>
      </c>
      <c r="L243" t="str">
        <f t="shared" si="15"/>
        <v>$75–100K</v>
      </c>
      <c r="M243">
        <v>11</v>
      </c>
    </row>
    <row r="244" spans="1:13">
      <c r="A244" t="s">
        <v>229</v>
      </c>
      <c r="B244" t="str">
        <f t="shared" si="12"/>
        <v>Mid-Level</v>
      </c>
      <c r="C244" t="str">
        <f t="shared" si="13"/>
        <v>Data Scientist</v>
      </c>
      <c r="D244">
        <v>2.7</v>
      </c>
      <c r="E244" t="s">
        <v>230</v>
      </c>
      <c r="F244" t="str">
        <f t="shared" si="14"/>
        <v>Madison</v>
      </c>
      <c r="G244" t="s">
        <v>22</v>
      </c>
      <c r="H244" t="s">
        <v>231</v>
      </c>
      <c r="I244">
        <v>91</v>
      </c>
      <c r="J244">
        <v>149</v>
      </c>
      <c r="K244">
        <v>120</v>
      </c>
      <c r="L244" t="str">
        <f t="shared" si="15"/>
        <v>$100–125K</v>
      </c>
      <c r="M244">
        <v>70</v>
      </c>
    </row>
    <row r="245" spans="1:13">
      <c r="A245" t="s">
        <v>7</v>
      </c>
      <c r="B245" t="str">
        <f t="shared" si="12"/>
        <v>Mid-Level</v>
      </c>
      <c r="C245" t="str">
        <f t="shared" si="13"/>
        <v>Data Scientist</v>
      </c>
      <c r="D245">
        <v>3.9</v>
      </c>
      <c r="E245" t="s">
        <v>219</v>
      </c>
      <c r="F245" t="str">
        <f t="shared" si="14"/>
        <v>South San Francisco</v>
      </c>
      <c r="G245" t="s">
        <v>14</v>
      </c>
      <c r="H245" t="s">
        <v>45</v>
      </c>
      <c r="I245">
        <v>127</v>
      </c>
      <c r="J245">
        <v>199</v>
      </c>
      <c r="K245">
        <v>163</v>
      </c>
      <c r="L245" t="str">
        <f t="shared" si="15"/>
        <v>&gt;$150K</v>
      </c>
      <c r="M245">
        <v>45</v>
      </c>
    </row>
    <row r="246" spans="1:13">
      <c r="A246" t="s">
        <v>308</v>
      </c>
      <c r="B246" t="str">
        <f t="shared" si="12"/>
        <v>Senior</v>
      </c>
      <c r="C246" t="str">
        <f t="shared" si="13"/>
        <v>Data Analyst</v>
      </c>
      <c r="D246">
        <v>3.4</v>
      </c>
      <c r="E246" t="s">
        <v>309</v>
      </c>
      <c r="F246" t="str">
        <f t="shared" si="14"/>
        <v>Providence</v>
      </c>
      <c r="G246" t="s">
        <v>9</v>
      </c>
      <c r="H246" t="s">
        <v>55</v>
      </c>
      <c r="I246">
        <v>74</v>
      </c>
      <c r="J246">
        <v>126</v>
      </c>
      <c r="K246">
        <v>100</v>
      </c>
      <c r="L246" t="str">
        <f t="shared" si="15"/>
        <v>$100–125K</v>
      </c>
      <c r="M246">
        <v>82</v>
      </c>
    </row>
    <row r="247" spans="1:13">
      <c r="A247" t="s">
        <v>31</v>
      </c>
      <c r="B247" t="str">
        <f t="shared" si="12"/>
        <v>Mid-Level</v>
      </c>
      <c r="C247" t="str">
        <f t="shared" si="13"/>
        <v>Research Scientist</v>
      </c>
      <c r="D247">
        <v>3.8</v>
      </c>
      <c r="E247" t="s">
        <v>94</v>
      </c>
      <c r="F247" t="str">
        <f t="shared" si="14"/>
        <v>Omaha</v>
      </c>
      <c r="G247" t="s">
        <v>19</v>
      </c>
      <c r="H247" t="s">
        <v>297</v>
      </c>
      <c r="I247">
        <v>33</v>
      </c>
      <c r="J247">
        <v>72</v>
      </c>
      <c r="K247">
        <v>52.5</v>
      </c>
      <c r="L247" t="str">
        <f t="shared" si="15"/>
        <v>$50–75K</v>
      </c>
      <c r="M247">
        <v>104</v>
      </c>
    </row>
    <row r="248" spans="1:13">
      <c r="A248" t="s">
        <v>227</v>
      </c>
      <c r="B248" t="str">
        <f t="shared" si="12"/>
        <v>Mid-Level</v>
      </c>
      <c r="C248" t="str">
        <f t="shared" si="13"/>
        <v>Data Scientist</v>
      </c>
      <c r="D248">
        <v>3.6</v>
      </c>
      <c r="E248" t="s">
        <v>228</v>
      </c>
      <c r="F248" t="str">
        <f t="shared" si="14"/>
        <v>West Reading</v>
      </c>
      <c r="G248" t="s">
        <v>38</v>
      </c>
      <c r="H248" t="s">
        <v>15</v>
      </c>
      <c r="I248">
        <v>35</v>
      </c>
      <c r="J248">
        <v>49</v>
      </c>
      <c r="K248">
        <v>42</v>
      </c>
      <c r="L248" t="str">
        <f t="shared" si="15"/>
        <v>&lt;$50K</v>
      </c>
      <c r="M248">
        <v>4</v>
      </c>
    </row>
    <row r="249" spans="1:13">
      <c r="A249" t="s">
        <v>310</v>
      </c>
      <c r="B249" t="str">
        <f t="shared" si="12"/>
        <v>Junior</v>
      </c>
      <c r="C249" t="str">
        <f t="shared" si="13"/>
        <v>Data Analyst</v>
      </c>
      <c r="D249">
        <v>3.3</v>
      </c>
      <c r="E249" t="s">
        <v>87</v>
      </c>
      <c r="F249" t="str">
        <f t="shared" si="14"/>
        <v>Washington</v>
      </c>
      <c r="G249" t="s">
        <v>9</v>
      </c>
      <c r="H249" t="s">
        <v>15</v>
      </c>
      <c r="I249">
        <v>37</v>
      </c>
      <c r="J249">
        <v>63</v>
      </c>
      <c r="K249">
        <v>50</v>
      </c>
      <c r="L249" t="str">
        <f t="shared" si="15"/>
        <v>$50–75K</v>
      </c>
      <c r="M249">
        <v>138</v>
      </c>
    </row>
    <row r="250" spans="1:13">
      <c r="A250" t="s">
        <v>311</v>
      </c>
      <c r="B250" t="str">
        <f t="shared" si="12"/>
        <v>Mid-Level</v>
      </c>
      <c r="C250" t="str">
        <f t="shared" si="13"/>
        <v>Data Engineer</v>
      </c>
      <c r="D250">
        <v>3.4</v>
      </c>
      <c r="E250" t="s">
        <v>307</v>
      </c>
      <c r="F250" t="str">
        <f t="shared" si="14"/>
        <v>Austin</v>
      </c>
      <c r="G250" t="s">
        <v>25</v>
      </c>
      <c r="H250" t="s">
        <v>30</v>
      </c>
      <c r="I250">
        <v>67</v>
      </c>
      <c r="J250">
        <v>119</v>
      </c>
      <c r="K250">
        <v>93</v>
      </c>
      <c r="L250" t="str">
        <f t="shared" si="15"/>
        <v>$75–100K</v>
      </c>
      <c r="M250">
        <v>15</v>
      </c>
    </row>
    <row r="251" spans="1:13">
      <c r="A251" t="s">
        <v>7</v>
      </c>
      <c r="B251" t="str">
        <f t="shared" si="12"/>
        <v>Mid-Level</v>
      </c>
      <c r="C251" t="str">
        <f t="shared" si="13"/>
        <v>Data Scientist</v>
      </c>
      <c r="D251">
        <v>3</v>
      </c>
      <c r="E251" t="s">
        <v>109</v>
      </c>
      <c r="F251" t="str">
        <f t="shared" si="14"/>
        <v>Cincinnati</v>
      </c>
      <c r="G251" t="s">
        <v>19</v>
      </c>
      <c r="H251" t="s">
        <v>57</v>
      </c>
      <c r="I251">
        <v>72</v>
      </c>
      <c r="J251">
        <v>117</v>
      </c>
      <c r="K251">
        <v>94.5</v>
      </c>
      <c r="L251" t="str">
        <f t="shared" si="15"/>
        <v>$75–100K</v>
      </c>
      <c r="M251">
        <v>134</v>
      </c>
    </row>
    <row r="252" spans="1:13">
      <c r="A252" t="s">
        <v>78</v>
      </c>
      <c r="B252" t="str">
        <f t="shared" si="12"/>
        <v>Senior</v>
      </c>
      <c r="C252" t="str">
        <f t="shared" si="13"/>
        <v>Data Scientist</v>
      </c>
      <c r="D252">
        <v>4</v>
      </c>
      <c r="E252" t="s">
        <v>34</v>
      </c>
      <c r="F252" t="str">
        <f t="shared" si="14"/>
        <v>San Francisco</v>
      </c>
      <c r="G252" t="s">
        <v>38</v>
      </c>
      <c r="H252" t="s">
        <v>76</v>
      </c>
      <c r="I252">
        <v>116</v>
      </c>
      <c r="J252">
        <v>185</v>
      </c>
      <c r="K252">
        <v>150.5</v>
      </c>
      <c r="L252" t="str">
        <f t="shared" si="15"/>
        <v>&gt;$150K</v>
      </c>
      <c r="M252">
        <v>39</v>
      </c>
    </row>
    <row r="253" spans="1:13">
      <c r="A253" t="s">
        <v>7</v>
      </c>
      <c r="B253" t="str">
        <f t="shared" si="12"/>
        <v>Mid-Level</v>
      </c>
      <c r="C253" t="str">
        <f t="shared" si="13"/>
        <v>Data Scientist</v>
      </c>
      <c r="D253">
        <v>3.7</v>
      </c>
      <c r="E253" t="s">
        <v>312</v>
      </c>
      <c r="F253" t="str">
        <f t="shared" si="14"/>
        <v>Raleigh</v>
      </c>
      <c r="G253" t="s">
        <v>19</v>
      </c>
      <c r="H253" t="s">
        <v>55</v>
      </c>
      <c r="I253">
        <v>78</v>
      </c>
      <c r="J253">
        <v>126</v>
      </c>
      <c r="K253">
        <v>102</v>
      </c>
      <c r="L253" t="str">
        <f t="shared" si="15"/>
        <v>$100–125K</v>
      </c>
      <c r="M253">
        <v>17</v>
      </c>
    </row>
    <row r="254" spans="1:13">
      <c r="A254" t="s">
        <v>232</v>
      </c>
      <c r="B254" t="str">
        <f t="shared" si="12"/>
        <v>Mid-Level</v>
      </c>
      <c r="C254" t="str">
        <f t="shared" si="13"/>
        <v>Data Scientist</v>
      </c>
      <c r="D254">
        <v>4.4000000000000004</v>
      </c>
      <c r="E254" t="s">
        <v>44</v>
      </c>
      <c r="F254" t="str">
        <f t="shared" si="14"/>
        <v>Cambridge</v>
      </c>
      <c r="G254" t="s">
        <v>25</v>
      </c>
      <c r="H254" t="s">
        <v>45</v>
      </c>
      <c r="I254">
        <v>42</v>
      </c>
      <c r="J254">
        <v>82</v>
      </c>
      <c r="K254">
        <v>62</v>
      </c>
      <c r="L254" t="str">
        <f t="shared" si="15"/>
        <v>$50–75K</v>
      </c>
      <c r="M254">
        <v>8</v>
      </c>
    </row>
    <row r="255" spans="1:13">
      <c r="A255" t="s">
        <v>233</v>
      </c>
      <c r="B255" t="str">
        <f t="shared" si="12"/>
        <v>Management</v>
      </c>
      <c r="C255" t="str">
        <f t="shared" si="13"/>
        <v>DS Manager</v>
      </c>
      <c r="D255">
        <v>4.3</v>
      </c>
      <c r="E255" t="s">
        <v>234</v>
      </c>
      <c r="F255" t="str">
        <f t="shared" si="14"/>
        <v>Dearborn</v>
      </c>
      <c r="G255" t="s">
        <v>25</v>
      </c>
      <c r="H255" t="s">
        <v>23</v>
      </c>
      <c r="I255">
        <v>59</v>
      </c>
      <c r="J255">
        <v>116</v>
      </c>
      <c r="K255">
        <v>87.5</v>
      </c>
      <c r="L255" t="str">
        <f t="shared" si="15"/>
        <v>$75–100K</v>
      </c>
      <c r="M255">
        <v>54</v>
      </c>
    </row>
    <row r="256" spans="1:13">
      <c r="A256" t="s">
        <v>66</v>
      </c>
      <c r="B256" t="str">
        <f t="shared" si="12"/>
        <v>Mid-Level</v>
      </c>
      <c r="C256" t="str">
        <f t="shared" si="13"/>
        <v>Data Scientist</v>
      </c>
      <c r="D256">
        <v>4</v>
      </c>
      <c r="E256" t="s">
        <v>67</v>
      </c>
      <c r="F256" t="str">
        <f t="shared" si="14"/>
        <v>Groton</v>
      </c>
      <c r="G256" t="s">
        <v>14</v>
      </c>
      <c r="H256" t="s">
        <v>45</v>
      </c>
      <c r="I256">
        <v>63</v>
      </c>
      <c r="J256">
        <v>105</v>
      </c>
      <c r="K256">
        <v>84</v>
      </c>
      <c r="L256" t="str">
        <f t="shared" si="15"/>
        <v>$75–100K</v>
      </c>
      <c r="M256">
        <v>172</v>
      </c>
    </row>
    <row r="257" spans="1:13">
      <c r="A257" t="s">
        <v>7</v>
      </c>
      <c r="B257" t="str">
        <f t="shared" si="12"/>
        <v>Mid-Level</v>
      </c>
      <c r="C257" t="str">
        <f t="shared" si="13"/>
        <v>Data Scientist</v>
      </c>
      <c r="D257">
        <v>4</v>
      </c>
      <c r="E257" t="s">
        <v>37</v>
      </c>
      <c r="F257" t="str">
        <f t="shared" si="14"/>
        <v>Herndon</v>
      </c>
      <c r="G257" t="s">
        <v>9</v>
      </c>
      <c r="H257" t="s">
        <v>52</v>
      </c>
      <c r="I257">
        <v>109</v>
      </c>
      <c r="J257">
        <v>177</v>
      </c>
      <c r="K257">
        <v>143</v>
      </c>
      <c r="L257" t="str">
        <f t="shared" si="15"/>
        <v>$125–150K</v>
      </c>
      <c r="M257">
        <v>9</v>
      </c>
    </row>
    <row r="258" spans="1:13">
      <c r="A258" t="s">
        <v>313</v>
      </c>
      <c r="B258" t="str">
        <f t="shared" si="12"/>
        <v>Senior</v>
      </c>
      <c r="C258" t="str">
        <f t="shared" si="13"/>
        <v>Data Scientist</v>
      </c>
      <c r="D258">
        <v>3.2</v>
      </c>
      <c r="E258" t="s">
        <v>314</v>
      </c>
      <c r="F258" t="str">
        <f t="shared" si="14"/>
        <v>Phila</v>
      </c>
      <c r="G258" s="1">
        <v>18264</v>
      </c>
      <c r="H258" t="s">
        <v>121</v>
      </c>
      <c r="I258">
        <v>116</v>
      </c>
      <c r="J258">
        <v>194</v>
      </c>
      <c r="K258">
        <v>155</v>
      </c>
      <c r="L258" t="str">
        <f t="shared" si="15"/>
        <v>&gt;$150K</v>
      </c>
      <c r="M258">
        <v>-1</v>
      </c>
    </row>
    <row r="259" spans="1:13">
      <c r="A259" t="s">
        <v>80</v>
      </c>
      <c r="B259" t="str">
        <f t="shared" ref="B259:B322" si="16">IF(OR(ISNUMBER(SEARCH("Senior",A259)),ISNUMBER(SEARCH("Sr",A259)),ISNUMBER(SEARCH("Lead",A259)),ISNUMBER(SEARCH("Principal",A259))),"Senior",IF(OR(ISNUMBER(SEARCH("Junior",A259)),ISNUMBER(SEARCH("Jr",A259)),ISNUMBER(SEARCH("Entry",A259)),ISNUMBER(SEARCH("Associate",A259))),"Junior",IF(OR(ISNUMBER(SEARCH("Manager",A259)),ISNUMBER(SEARCH("Director",A259)),ISNUMBER(SEARCH("Head",A259)),ISNUMBER(SEARCH("VP",A259))),"Management","Mid-Level")))</f>
        <v>Mid-Level</v>
      </c>
      <c r="C259" t="str">
        <f t="shared" ref="C259:C322" si="17">IF(ISNUMBER(SEARCH("Machine Learn",A259)),"ML Engineer",IF(ISNUMBER(SEARCH("Data Engineer",A259)),"Data Engineer",IF(ISNUMBER(SEARCH("Data Analyst",A259)),"Data Analyst",IF(ISNUMBER(SEARCH("Business Analyst",A259)),"Business Analyst",IF(ISNUMBER(SEARCH("Research",A259)),"Research Scientist",IF(ISNUMBER(SEARCH("Manager",A259)),"DS Manager",IF(ISNUMBER(SEARCH("Director",A259)),"Director/VP","Data Scientist")))))))</f>
        <v>Data Engineer</v>
      </c>
      <c r="D259">
        <v>4.2</v>
      </c>
      <c r="E259" t="s">
        <v>235</v>
      </c>
      <c r="F259" t="str">
        <f t="shared" ref="F259:F322" si="18">IFERROR(LEFT(E259, FIND(",", E259)-1), E259)</f>
        <v>Winter Park</v>
      </c>
      <c r="G259" t="s">
        <v>22</v>
      </c>
      <c r="H259" t="s">
        <v>23</v>
      </c>
      <c r="I259">
        <v>48</v>
      </c>
      <c r="J259">
        <v>95</v>
      </c>
      <c r="K259">
        <v>71.5</v>
      </c>
      <c r="L259" t="str">
        <f t="shared" ref="L259:L322" si="19">IF(K259&lt;50,"&lt;$50K",IF(K259&lt;75,"$50–75K",IF(K259&lt;100,"$75–100K",IF(K259&lt;125,"$100–125K",IF(K259&lt;150,"$125–150K","&gt;$150K")))))</f>
        <v>$50–75K</v>
      </c>
      <c r="M259">
        <v>15</v>
      </c>
    </row>
    <row r="260" spans="1:13">
      <c r="A260" t="s">
        <v>7</v>
      </c>
      <c r="B260" t="str">
        <f t="shared" si="16"/>
        <v>Mid-Level</v>
      </c>
      <c r="C260" t="str">
        <f t="shared" si="17"/>
        <v>Data Scientist</v>
      </c>
      <c r="D260">
        <v>3.9</v>
      </c>
      <c r="E260" t="s">
        <v>315</v>
      </c>
      <c r="F260" t="str">
        <f t="shared" si="18"/>
        <v>Oakland</v>
      </c>
      <c r="G260" t="s">
        <v>22</v>
      </c>
      <c r="H260" t="s">
        <v>55</v>
      </c>
      <c r="I260">
        <v>83</v>
      </c>
      <c r="J260">
        <v>133</v>
      </c>
      <c r="K260">
        <v>108</v>
      </c>
      <c r="L260" t="str">
        <f t="shared" si="19"/>
        <v>$100–125K</v>
      </c>
      <c r="M260">
        <v>21</v>
      </c>
    </row>
    <row r="261" spans="1:13">
      <c r="A261" t="s">
        <v>237</v>
      </c>
      <c r="B261" t="str">
        <f t="shared" si="16"/>
        <v>Senior</v>
      </c>
      <c r="C261" t="str">
        <f t="shared" si="17"/>
        <v>Data Scientist</v>
      </c>
      <c r="D261">
        <v>3.7</v>
      </c>
      <c r="E261" t="s">
        <v>106</v>
      </c>
      <c r="F261" t="str">
        <f t="shared" si="18"/>
        <v>San Diego</v>
      </c>
      <c r="G261" t="s">
        <v>14</v>
      </c>
      <c r="H261" t="s">
        <v>45</v>
      </c>
      <c r="I261">
        <v>105</v>
      </c>
      <c r="J261">
        <v>198</v>
      </c>
      <c r="K261">
        <v>151.5</v>
      </c>
      <c r="L261" t="str">
        <f t="shared" si="19"/>
        <v>&gt;$150K</v>
      </c>
      <c r="M261">
        <v>240</v>
      </c>
    </row>
    <row r="262" spans="1:13">
      <c r="A262" t="s">
        <v>236</v>
      </c>
      <c r="B262" t="str">
        <f t="shared" si="16"/>
        <v>Mid-Level</v>
      </c>
      <c r="C262" t="str">
        <f t="shared" si="17"/>
        <v>Data Analyst</v>
      </c>
      <c r="D262">
        <v>3.6</v>
      </c>
      <c r="E262" t="s">
        <v>172</v>
      </c>
      <c r="F262" t="str">
        <f t="shared" si="18"/>
        <v>San Rafael</v>
      </c>
      <c r="G262" t="s">
        <v>22</v>
      </c>
      <c r="H262" t="s">
        <v>42</v>
      </c>
      <c r="I262">
        <v>31</v>
      </c>
      <c r="J262">
        <v>72</v>
      </c>
      <c r="K262">
        <v>51.5</v>
      </c>
      <c r="L262" t="str">
        <f t="shared" si="19"/>
        <v>$50–75K</v>
      </c>
      <c r="M262">
        <v>15</v>
      </c>
    </row>
    <row r="263" spans="1:13">
      <c r="A263" t="s">
        <v>239</v>
      </c>
      <c r="B263" t="str">
        <f t="shared" si="16"/>
        <v>Senior</v>
      </c>
      <c r="C263" t="str">
        <f t="shared" si="17"/>
        <v>Data Scientist</v>
      </c>
      <c r="D263">
        <v>3.7</v>
      </c>
      <c r="E263" t="s">
        <v>102</v>
      </c>
      <c r="F263" t="str">
        <f t="shared" si="18"/>
        <v>Boston</v>
      </c>
      <c r="G263" t="s">
        <v>14</v>
      </c>
      <c r="H263" t="s">
        <v>45</v>
      </c>
      <c r="I263">
        <v>98</v>
      </c>
      <c r="J263">
        <v>182</v>
      </c>
      <c r="K263">
        <v>140</v>
      </c>
      <c r="L263" t="str">
        <f t="shared" si="19"/>
        <v>$125–150K</v>
      </c>
      <c r="M263">
        <v>240</v>
      </c>
    </row>
    <row r="264" spans="1:13">
      <c r="A264" t="s">
        <v>169</v>
      </c>
      <c r="B264" t="str">
        <f t="shared" si="16"/>
        <v>Senior</v>
      </c>
      <c r="C264" t="str">
        <f t="shared" si="17"/>
        <v>Data Analyst</v>
      </c>
      <c r="D264">
        <v>2.8</v>
      </c>
      <c r="E264" t="s">
        <v>238</v>
      </c>
      <c r="F264" t="str">
        <f t="shared" si="18"/>
        <v>Hamilton</v>
      </c>
      <c r="G264" t="s">
        <v>25</v>
      </c>
      <c r="H264" t="s">
        <v>74</v>
      </c>
      <c r="I264">
        <v>55</v>
      </c>
      <c r="J264">
        <v>100</v>
      </c>
      <c r="K264">
        <v>77.5</v>
      </c>
      <c r="L264" t="str">
        <f t="shared" si="19"/>
        <v>$75–100K</v>
      </c>
      <c r="M264">
        <v>7</v>
      </c>
    </row>
    <row r="265" spans="1:13">
      <c r="A265" t="s">
        <v>316</v>
      </c>
      <c r="B265" t="str">
        <f t="shared" si="16"/>
        <v>Mid-Level</v>
      </c>
      <c r="C265" t="str">
        <f t="shared" si="17"/>
        <v>Data Analyst</v>
      </c>
      <c r="D265">
        <v>4.2</v>
      </c>
      <c r="E265" t="s">
        <v>317</v>
      </c>
      <c r="F265" t="str">
        <f t="shared" si="18"/>
        <v>Boise</v>
      </c>
      <c r="G265" t="s">
        <v>9</v>
      </c>
      <c r="H265" t="s">
        <v>231</v>
      </c>
      <c r="I265">
        <v>45</v>
      </c>
      <c r="J265">
        <v>82</v>
      </c>
      <c r="K265">
        <v>63.5</v>
      </c>
      <c r="L265" t="str">
        <f t="shared" si="19"/>
        <v>$50–75K</v>
      </c>
      <c r="M265">
        <v>17</v>
      </c>
    </row>
    <row r="266" spans="1:13">
      <c r="A266" t="s">
        <v>7</v>
      </c>
      <c r="B266" t="str">
        <f t="shared" si="16"/>
        <v>Mid-Level</v>
      </c>
      <c r="C266" t="str">
        <f t="shared" si="17"/>
        <v>Data Scientist</v>
      </c>
      <c r="D266">
        <v>4</v>
      </c>
      <c r="E266" t="s">
        <v>34</v>
      </c>
      <c r="F266" t="str">
        <f t="shared" si="18"/>
        <v>San Francisco</v>
      </c>
      <c r="G266" s="1">
        <v>18264</v>
      </c>
      <c r="H266" t="s">
        <v>74</v>
      </c>
      <c r="I266">
        <v>83</v>
      </c>
      <c r="J266">
        <v>135</v>
      </c>
      <c r="K266">
        <v>109</v>
      </c>
      <c r="L266" t="str">
        <f t="shared" si="19"/>
        <v>$100–125K</v>
      </c>
      <c r="M266">
        <v>-1</v>
      </c>
    </row>
    <row r="267" spans="1:13">
      <c r="A267" t="s">
        <v>7</v>
      </c>
      <c r="B267" t="str">
        <f t="shared" si="16"/>
        <v>Mid-Level</v>
      </c>
      <c r="C267" t="str">
        <f t="shared" si="17"/>
        <v>Data Scientist</v>
      </c>
      <c r="D267">
        <v>3.5</v>
      </c>
      <c r="E267" t="s">
        <v>318</v>
      </c>
      <c r="F267" t="str">
        <f t="shared" si="18"/>
        <v>Oak Ridge</v>
      </c>
      <c r="G267" t="s">
        <v>38</v>
      </c>
      <c r="H267" t="s">
        <v>10</v>
      </c>
      <c r="I267">
        <v>70</v>
      </c>
      <c r="J267">
        <v>122</v>
      </c>
      <c r="K267">
        <v>96</v>
      </c>
      <c r="L267" t="str">
        <f t="shared" si="19"/>
        <v>$75–100K</v>
      </c>
      <c r="M267">
        <v>171</v>
      </c>
    </row>
    <row r="268" spans="1:13">
      <c r="A268" t="s">
        <v>241</v>
      </c>
      <c r="B268" t="str">
        <f t="shared" si="16"/>
        <v>Senior</v>
      </c>
      <c r="C268" t="str">
        <f t="shared" si="17"/>
        <v>Data Scientist</v>
      </c>
      <c r="D268">
        <v>-1</v>
      </c>
      <c r="E268" t="s">
        <v>34</v>
      </c>
      <c r="F268" t="str">
        <f t="shared" si="18"/>
        <v>San Francisco</v>
      </c>
      <c r="G268" t="s">
        <v>22</v>
      </c>
      <c r="H268" t="s">
        <v>74</v>
      </c>
      <c r="I268">
        <v>200</v>
      </c>
      <c r="J268">
        <v>250</v>
      </c>
      <c r="K268">
        <v>225</v>
      </c>
      <c r="L268" t="str">
        <f t="shared" si="19"/>
        <v>&gt;$150K</v>
      </c>
      <c r="M268">
        <v>4</v>
      </c>
    </row>
    <row r="269" spans="1:13">
      <c r="A269" t="s">
        <v>80</v>
      </c>
      <c r="B269" t="str">
        <f t="shared" si="16"/>
        <v>Mid-Level</v>
      </c>
      <c r="C269" t="str">
        <f t="shared" si="17"/>
        <v>Data Engineer</v>
      </c>
      <c r="D269">
        <v>3.2</v>
      </c>
      <c r="E269" t="s">
        <v>319</v>
      </c>
      <c r="F269" t="str">
        <f t="shared" si="18"/>
        <v>Agoura Hills</v>
      </c>
      <c r="G269" t="s">
        <v>19</v>
      </c>
      <c r="H269" t="s">
        <v>250</v>
      </c>
      <c r="I269">
        <v>70</v>
      </c>
      <c r="J269">
        <v>132</v>
      </c>
      <c r="K269">
        <v>101</v>
      </c>
      <c r="L269" t="str">
        <f t="shared" si="19"/>
        <v>$100–125K</v>
      </c>
      <c r="M269">
        <v>13</v>
      </c>
    </row>
    <row r="270" spans="1:13">
      <c r="A270" t="s">
        <v>78</v>
      </c>
      <c r="B270" t="str">
        <f t="shared" si="16"/>
        <v>Senior</v>
      </c>
      <c r="C270" t="str">
        <f t="shared" si="17"/>
        <v>Data Scientist</v>
      </c>
      <c r="D270">
        <v>3.3</v>
      </c>
      <c r="E270" t="s">
        <v>240</v>
      </c>
      <c r="F270" t="str">
        <f t="shared" si="18"/>
        <v>Woodbridge</v>
      </c>
      <c r="G270" t="s">
        <v>19</v>
      </c>
      <c r="H270" t="s">
        <v>55</v>
      </c>
      <c r="I270">
        <v>73</v>
      </c>
      <c r="J270">
        <v>124</v>
      </c>
      <c r="K270">
        <v>98.5</v>
      </c>
      <c r="L270" t="str">
        <f t="shared" si="19"/>
        <v>$75–100K</v>
      </c>
      <c r="M270">
        <v>39</v>
      </c>
    </row>
    <row r="271" spans="1:13">
      <c r="A271" t="s">
        <v>320</v>
      </c>
      <c r="B271" t="str">
        <f t="shared" si="16"/>
        <v>Mid-Level</v>
      </c>
      <c r="C271" t="str">
        <f t="shared" si="17"/>
        <v>Data Engineer</v>
      </c>
      <c r="D271">
        <v>3.9</v>
      </c>
      <c r="E271" t="s">
        <v>321</v>
      </c>
      <c r="F271" t="str">
        <f t="shared" si="18"/>
        <v>Pella</v>
      </c>
      <c r="G271" t="s">
        <v>19</v>
      </c>
      <c r="H271" t="s">
        <v>99</v>
      </c>
      <c r="I271">
        <v>54</v>
      </c>
      <c r="J271">
        <v>101</v>
      </c>
      <c r="K271">
        <v>77.5</v>
      </c>
      <c r="L271" t="str">
        <f t="shared" si="19"/>
        <v>$75–100K</v>
      </c>
      <c r="M271">
        <v>73</v>
      </c>
    </row>
    <row r="272" spans="1:13">
      <c r="A272" t="s">
        <v>244</v>
      </c>
      <c r="B272" t="str">
        <f t="shared" si="16"/>
        <v>Senior</v>
      </c>
      <c r="C272" t="str">
        <f t="shared" si="17"/>
        <v>Data Scientist</v>
      </c>
      <c r="D272">
        <v>3.7</v>
      </c>
      <c r="E272" t="s">
        <v>102</v>
      </c>
      <c r="F272" t="str">
        <f t="shared" si="18"/>
        <v>Boston</v>
      </c>
      <c r="G272" t="s">
        <v>14</v>
      </c>
      <c r="H272" t="s">
        <v>45</v>
      </c>
      <c r="I272">
        <v>117</v>
      </c>
      <c r="J272">
        <v>206</v>
      </c>
      <c r="K272">
        <v>161.5</v>
      </c>
      <c r="L272" t="str">
        <f t="shared" si="19"/>
        <v>&gt;$150K</v>
      </c>
      <c r="M272">
        <v>240</v>
      </c>
    </row>
    <row r="273" spans="1:13">
      <c r="A273" t="s">
        <v>242</v>
      </c>
      <c r="B273" t="str">
        <f t="shared" si="16"/>
        <v>Mid-Level</v>
      </c>
      <c r="C273" t="str">
        <f t="shared" si="17"/>
        <v>Data Scientist</v>
      </c>
      <c r="D273">
        <v>3.6</v>
      </c>
      <c r="E273" t="s">
        <v>243</v>
      </c>
      <c r="F273" t="str">
        <f t="shared" si="18"/>
        <v>Lewes</v>
      </c>
      <c r="G273" t="s">
        <v>19</v>
      </c>
      <c r="H273" t="s">
        <v>15</v>
      </c>
      <c r="I273">
        <v>43</v>
      </c>
      <c r="J273">
        <v>70</v>
      </c>
      <c r="K273">
        <v>56.5</v>
      </c>
      <c r="L273" t="str">
        <f t="shared" si="19"/>
        <v>$50–75K</v>
      </c>
      <c r="M273">
        <v>86</v>
      </c>
    </row>
    <row r="274" spans="1:13">
      <c r="A274" t="s">
        <v>245</v>
      </c>
      <c r="B274" t="str">
        <f t="shared" si="16"/>
        <v>Senior</v>
      </c>
      <c r="C274" t="str">
        <f t="shared" si="17"/>
        <v>Data Scientist</v>
      </c>
      <c r="D274">
        <v>3.4</v>
      </c>
      <c r="E274" t="s">
        <v>21</v>
      </c>
      <c r="F274" t="str">
        <f t="shared" si="18"/>
        <v>New York</v>
      </c>
      <c r="G274" t="s">
        <v>19</v>
      </c>
      <c r="H274" t="s">
        <v>55</v>
      </c>
      <c r="I274">
        <v>111</v>
      </c>
      <c r="J274">
        <v>183</v>
      </c>
      <c r="K274">
        <v>147</v>
      </c>
      <c r="L274" t="str">
        <f t="shared" si="19"/>
        <v>$125–150K</v>
      </c>
      <c r="M274">
        <v>73</v>
      </c>
    </row>
    <row r="275" spans="1:13">
      <c r="A275" t="s">
        <v>7</v>
      </c>
      <c r="B275" t="str">
        <f t="shared" si="16"/>
        <v>Mid-Level</v>
      </c>
      <c r="C275" t="str">
        <f t="shared" si="17"/>
        <v>Data Scientist</v>
      </c>
      <c r="D275">
        <v>3.5</v>
      </c>
      <c r="E275" t="s">
        <v>322</v>
      </c>
      <c r="F275" t="str">
        <f t="shared" si="18"/>
        <v>San Ramon</v>
      </c>
      <c r="G275" t="s">
        <v>14</v>
      </c>
      <c r="H275" t="s">
        <v>74</v>
      </c>
      <c r="I275">
        <v>68</v>
      </c>
      <c r="J275">
        <v>112</v>
      </c>
      <c r="K275">
        <v>90</v>
      </c>
      <c r="L275" t="str">
        <f t="shared" si="19"/>
        <v>$75–100K</v>
      </c>
      <c r="M275">
        <v>24</v>
      </c>
    </row>
    <row r="276" spans="1:13">
      <c r="A276" t="s">
        <v>323</v>
      </c>
      <c r="B276" t="str">
        <f t="shared" si="16"/>
        <v>Mid-Level</v>
      </c>
      <c r="C276" t="str">
        <f t="shared" si="17"/>
        <v>Data Analyst</v>
      </c>
      <c r="D276">
        <v>4.3</v>
      </c>
      <c r="E276" t="s">
        <v>324</v>
      </c>
      <c r="F276" t="str">
        <f t="shared" si="18"/>
        <v>Red Bank</v>
      </c>
      <c r="G276" t="s">
        <v>9</v>
      </c>
      <c r="H276" t="s">
        <v>27</v>
      </c>
      <c r="I276">
        <v>42</v>
      </c>
      <c r="J276">
        <v>74</v>
      </c>
      <c r="K276">
        <v>58</v>
      </c>
      <c r="L276" t="str">
        <f t="shared" si="19"/>
        <v>$50–75K</v>
      </c>
      <c r="M276">
        <v>119</v>
      </c>
    </row>
    <row r="277" spans="1:13">
      <c r="A277" t="s">
        <v>246</v>
      </c>
      <c r="B277" t="str">
        <f t="shared" si="16"/>
        <v>Mid-Level</v>
      </c>
      <c r="C277" t="str">
        <f t="shared" si="17"/>
        <v>Data Analyst</v>
      </c>
      <c r="D277">
        <v>4.0999999999999996</v>
      </c>
      <c r="E277" t="s">
        <v>247</v>
      </c>
      <c r="F277" t="str">
        <f t="shared" si="18"/>
        <v>Springfield</v>
      </c>
      <c r="G277" t="s">
        <v>9</v>
      </c>
      <c r="H277" t="s">
        <v>20</v>
      </c>
      <c r="I277">
        <v>44</v>
      </c>
      <c r="J277">
        <v>78</v>
      </c>
      <c r="K277">
        <v>61</v>
      </c>
      <c r="L277" t="str">
        <f t="shared" si="19"/>
        <v>$50–75K</v>
      </c>
      <c r="M277">
        <v>60</v>
      </c>
    </row>
    <row r="278" spans="1:13">
      <c r="A278" t="s">
        <v>248</v>
      </c>
      <c r="B278" t="str">
        <f t="shared" si="16"/>
        <v>Mid-Level</v>
      </c>
      <c r="C278" t="str">
        <f t="shared" si="17"/>
        <v>ML Engineer</v>
      </c>
      <c r="D278">
        <v>2.6</v>
      </c>
      <c r="E278" t="s">
        <v>133</v>
      </c>
      <c r="F278" t="str">
        <f t="shared" si="18"/>
        <v>Pittsburgh</v>
      </c>
      <c r="G278" t="s">
        <v>9</v>
      </c>
      <c r="H278" t="s">
        <v>208</v>
      </c>
      <c r="I278">
        <v>81</v>
      </c>
      <c r="J278">
        <v>159</v>
      </c>
      <c r="K278">
        <v>120</v>
      </c>
      <c r="L278" t="str">
        <f t="shared" si="19"/>
        <v>$100–125K</v>
      </c>
      <c r="M278">
        <v>37</v>
      </c>
    </row>
    <row r="279" spans="1:13">
      <c r="A279" t="s">
        <v>7</v>
      </c>
      <c r="B279" t="str">
        <f t="shared" si="16"/>
        <v>Mid-Level</v>
      </c>
      <c r="C279" t="str">
        <f t="shared" si="17"/>
        <v>Data Scientist</v>
      </c>
      <c r="D279">
        <v>3.6</v>
      </c>
      <c r="E279" t="s">
        <v>21</v>
      </c>
      <c r="F279" t="str">
        <f t="shared" si="18"/>
        <v>New York</v>
      </c>
      <c r="G279" t="s">
        <v>19</v>
      </c>
      <c r="H279" t="s">
        <v>325</v>
      </c>
      <c r="I279">
        <v>95</v>
      </c>
      <c r="J279">
        <v>161</v>
      </c>
      <c r="K279">
        <v>128</v>
      </c>
      <c r="L279" t="str">
        <f t="shared" si="19"/>
        <v>$125–150K</v>
      </c>
      <c r="M279">
        <v>277</v>
      </c>
    </row>
    <row r="280" spans="1:13">
      <c r="A280" t="s">
        <v>7</v>
      </c>
      <c r="B280" t="str">
        <f t="shared" si="16"/>
        <v>Mid-Level</v>
      </c>
      <c r="C280" t="str">
        <f t="shared" si="17"/>
        <v>Data Scientist</v>
      </c>
      <c r="D280">
        <v>3.5</v>
      </c>
      <c r="E280" t="s">
        <v>63</v>
      </c>
      <c r="F280" t="str">
        <f t="shared" si="18"/>
        <v>Hillsboro</v>
      </c>
      <c r="G280" t="s">
        <v>19</v>
      </c>
      <c r="H280" t="s">
        <v>27</v>
      </c>
      <c r="I280">
        <v>75</v>
      </c>
      <c r="J280">
        <v>124</v>
      </c>
      <c r="K280">
        <v>99.5</v>
      </c>
      <c r="L280" t="str">
        <f t="shared" si="19"/>
        <v>$75–100K</v>
      </c>
      <c r="M280">
        <v>69</v>
      </c>
    </row>
    <row r="281" spans="1:13">
      <c r="A281" t="s">
        <v>7</v>
      </c>
      <c r="B281" t="str">
        <f t="shared" si="16"/>
        <v>Mid-Level</v>
      </c>
      <c r="C281" t="str">
        <f t="shared" si="17"/>
        <v>Data Scientist</v>
      </c>
      <c r="D281">
        <v>3.6</v>
      </c>
      <c r="E281" t="s">
        <v>68</v>
      </c>
      <c r="F281" t="str">
        <f t="shared" si="18"/>
        <v>Detroit</v>
      </c>
      <c r="G281" t="s">
        <v>19</v>
      </c>
      <c r="H281" t="s">
        <v>26</v>
      </c>
      <c r="I281">
        <v>72</v>
      </c>
      <c r="J281">
        <v>120</v>
      </c>
      <c r="K281">
        <v>96</v>
      </c>
      <c r="L281" t="str">
        <f t="shared" si="19"/>
        <v>$75–100K</v>
      </c>
      <c r="M281">
        <v>24</v>
      </c>
    </row>
    <row r="282" spans="1:13">
      <c r="A282" t="s">
        <v>7</v>
      </c>
      <c r="B282" t="str">
        <f t="shared" si="16"/>
        <v>Mid-Level</v>
      </c>
      <c r="C282" t="str">
        <f t="shared" si="17"/>
        <v>Data Scientist</v>
      </c>
      <c r="D282">
        <v>2.2999999999999998</v>
      </c>
      <c r="E282" t="s">
        <v>87</v>
      </c>
      <c r="F282" t="str">
        <f t="shared" si="18"/>
        <v>Washington</v>
      </c>
      <c r="G282" t="s">
        <v>25</v>
      </c>
      <c r="H282" t="s">
        <v>45</v>
      </c>
      <c r="I282">
        <v>76</v>
      </c>
      <c r="J282">
        <v>126</v>
      </c>
      <c r="K282">
        <v>101</v>
      </c>
      <c r="L282" t="str">
        <f t="shared" si="19"/>
        <v>$100–125K</v>
      </c>
      <c r="M282">
        <v>18</v>
      </c>
    </row>
    <row r="283" spans="1:13">
      <c r="A283" t="s">
        <v>78</v>
      </c>
      <c r="B283" t="str">
        <f t="shared" si="16"/>
        <v>Senior</v>
      </c>
      <c r="C283" t="str">
        <f t="shared" si="17"/>
        <v>Data Scientist</v>
      </c>
      <c r="D283">
        <v>3.9</v>
      </c>
      <c r="E283" t="s">
        <v>251</v>
      </c>
      <c r="F283" t="str">
        <f t="shared" si="18"/>
        <v>Burbank</v>
      </c>
      <c r="G283" t="s">
        <v>22</v>
      </c>
      <c r="H283" t="s">
        <v>148</v>
      </c>
      <c r="I283">
        <v>114</v>
      </c>
      <c r="J283">
        <v>182</v>
      </c>
      <c r="K283">
        <v>148</v>
      </c>
      <c r="L283" t="str">
        <f t="shared" si="19"/>
        <v>$125–150K</v>
      </c>
      <c r="M283">
        <v>12</v>
      </c>
    </row>
    <row r="284" spans="1:13">
      <c r="A284" t="s">
        <v>326</v>
      </c>
      <c r="B284" t="str">
        <f t="shared" si="16"/>
        <v>Senior</v>
      </c>
      <c r="C284" t="str">
        <f t="shared" si="17"/>
        <v>Data Scientist</v>
      </c>
      <c r="D284">
        <v>4</v>
      </c>
      <c r="E284" t="s">
        <v>157</v>
      </c>
      <c r="F284" t="str">
        <f t="shared" si="18"/>
        <v>Fort Belvoir</v>
      </c>
      <c r="G284" t="s">
        <v>9</v>
      </c>
      <c r="H284" t="s">
        <v>52</v>
      </c>
      <c r="I284">
        <v>108</v>
      </c>
      <c r="J284">
        <v>176</v>
      </c>
      <c r="K284">
        <v>142</v>
      </c>
      <c r="L284" t="str">
        <f t="shared" si="19"/>
        <v>$125–150K</v>
      </c>
      <c r="M284">
        <v>9</v>
      </c>
    </row>
    <row r="285" spans="1:13">
      <c r="A285" t="s">
        <v>78</v>
      </c>
      <c r="B285" t="str">
        <f t="shared" si="16"/>
        <v>Senior</v>
      </c>
      <c r="C285" t="str">
        <f t="shared" si="17"/>
        <v>Data Scientist</v>
      </c>
      <c r="D285">
        <v>4.0999999999999996</v>
      </c>
      <c r="E285" t="s">
        <v>112</v>
      </c>
      <c r="F285" t="str">
        <f t="shared" si="18"/>
        <v>Palo Alto</v>
      </c>
      <c r="G285" s="1">
        <v>18264</v>
      </c>
      <c r="H285" t="s">
        <v>327</v>
      </c>
      <c r="I285">
        <v>130</v>
      </c>
      <c r="J285">
        <v>208</v>
      </c>
      <c r="K285">
        <v>169</v>
      </c>
      <c r="L285" t="str">
        <f t="shared" si="19"/>
        <v>&gt;$150K</v>
      </c>
      <c r="M285">
        <v>14</v>
      </c>
    </row>
    <row r="286" spans="1:13">
      <c r="A286" t="s">
        <v>249</v>
      </c>
      <c r="B286" t="str">
        <f t="shared" si="16"/>
        <v>Management</v>
      </c>
      <c r="C286" t="str">
        <f t="shared" si="17"/>
        <v>Data Scientist</v>
      </c>
      <c r="D286">
        <v>3.2</v>
      </c>
      <c r="E286" t="s">
        <v>170</v>
      </c>
      <c r="F286" t="str">
        <f t="shared" si="18"/>
        <v>Phoenix</v>
      </c>
      <c r="G286" t="s">
        <v>19</v>
      </c>
      <c r="H286" t="s">
        <v>250</v>
      </c>
      <c r="I286">
        <v>83</v>
      </c>
      <c r="J286">
        <v>166</v>
      </c>
      <c r="K286">
        <v>124.5</v>
      </c>
      <c r="L286" t="str">
        <f t="shared" si="19"/>
        <v>$100–125K</v>
      </c>
      <c r="M286">
        <v>13</v>
      </c>
    </row>
    <row r="287" spans="1:13">
      <c r="A287" t="s">
        <v>252</v>
      </c>
      <c r="B287" t="str">
        <f t="shared" si="16"/>
        <v>Mid-Level</v>
      </c>
      <c r="C287" t="str">
        <f t="shared" si="17"/>
        <v>Data Analyst</v>
      </c>
      <c r="D287">
        <v>4.7</v>
      </c>
      <c r="E287" t="s">
        <v>104</v>
      </c>
      <c r="F287" t="str">
        <f t="shared" si="18"/>
        <v>Huntsville</v>
      </c>
      <c r="G287" t="s">
        <v>22</v>
      </c>
      <c r="H287" t="s">
        <v>10</v>
      </c>
      <c r="I287">
        <v>42</v>
      </c>
      <c r="J287">
        <v>76</v>
      </c>
      <c r="K287">
        <v>59</v>
      </c>
      <c r="L287" t="str">
        <f t="shared" si="19"/>
        <v>$50–75K</v>
      </c>
      <c r="M287">
        <v>25</v>
      </c>
    </row>
    <row r="288" spans="1:13">
      <c r="A288" t="s">
        <v>328</v>
      </c>
      <c r="B288" t="str">
        <f t="shared" si="16"/>
        <v>Mid-Level</v>
      </c>
      <c r="C288" t="str">
        <f t="shared" si="17"/>
        <v>Data Scientist</v>
      </c>
      <c r="D288">
        <v>4.2</v>
      </c>
      <c r="E288" t="s">
        <v>106</v>
      </c>
      <c r="F288" t="str">
        <f t="shared" si="18"/>
        <v>San Diego</v>
      </c>
      <c r="G288" t="s">
        <v>22</v>
      </c>
      <c r="H288" t="s">
        <v>30</v>
      </c>
      <c r="I288">
        <v>37</v>
      </c>
      <c r="J288">
        <v>68</v>
      </c>
      <c r="K288">
        <v>52.5</v>
      </c>
      <c r="L288" t="str">
        <f t="shared" si="19"/>
        <v>$50–75K</v>
      </c>
      <c r="M288">
        <v>34</v>
      </c>
    </row>
    <row r="289" spans="1:13">
      <c r="A289" t="s">
        <v>80</v>
      </c>
      <c r="B289" t="str">
        <f t="shared" si="16"/>
        <v>Mid-Level</v>
      </c>
      <c r="C289" t="str">
        <f t="shared" si="17"/>
        <v>Data Engineer</v>
      </c>
      <c r="D289">
        <v>4.5999999999999996</v>
      </c>
      <c r="E289" t="s">
        <v>162</v>
      </c>
      <c r="F289" t="str">
        <f t="shared" si="18"/>
        <v>Houston</v>
      </c>
      <c r="G289" t="s">
        <v>9</v>
      </c>
      <c r="H289" t="s">
        <v>74</v>
      </c>
      <c r="I289">
        <v>52</v>
      </c>
      <c r="J289">
        <v>99</v>
      </c>
      <c r="K289">
        <v>75.5</v>
      </c>
      <c r="L289" t="str">
        <f t="shared" si="19"/>
        <v>$75–100K</v>
      </c>
      <c r="M289">
        <v>39</v>
      </c>
    </row>
    <row r="290" spans="1:13">
      <c r="A290" t="s">
        <v>78</v>
      </c>
      <c r="B290" t="str">
        <f t="shared" si="16"/>
        <v>Senior</v>
      </c>
      <c r="C290" t="str">
        <f t="shared" si="17"/>
        <v>Data Scientist</v>
      </c>
      <c r="D290">
        <v>3.7</v>
      </c>
      <c r="E290" t="s">
        <v>105</v>
      </c>
      <c r="F290" t="str">
        <f t="shared" si="18"/>
        <v>Armonk</v>
      </c>
      <c r="G290" t="s">
        <v>14</v>
      </c>
      <c r="H290" t="s">
        <v>57</v>
      </c>
      <c r="I290">
        <v>105</v>
      </c>
      <c r="J290">
        <v>173</v>
      </c>
      <c r="K290">
        <v>139</v>
      </c>
      <c r="L290" t="str">
        <f t="shared" si="19"/>
        <v>$125–150K</v>
      </c>
      <c r="M290">
        <v>158</v>
      </c>
    </row>
    <row r="291" spans="1:13">
      <c r="A291" t="s">
        <v>330</v>
      </c>
      <c r="B291" t="str">
        <f t="shared" si="16"/>
        <v>Mid-Level</v>
      </c>
      <c r="C291" t="str">
        <f t="shared" si="17"/>
        <v>Data Engineer</v>
      </c>
      <c r="D291">
        <v>3.7</v>
      </c>
      <c r="E291" t="s">
        <v>44</v>
      </c>
      <c r="F291" t="str">
        <f t="shared" si="18"/>
        <v>Cambridge</v>
      </c>
      <c r="G291" t="s">
        <v>14</v>
      </c>
      <c r="H291" t="s">
        <v>45</v>
      </c>
      <c r="I291">
        <v>71</v>
      </c>
      <c r="J291">
        <v>134</v>
      </c>
      <c r="K291">
        <v>102.5</v>
      </c>
      <c r="L291" t="str">
        <f t="shared" si="19"/>
        <v>$100–125K</v>
      </c>
      <c r="M291">
        <v>240</v>
      </c>
    </row>
    <row r="292" spans="1:13">
      <c r="A292" t="s">
        <v>331</v>
      </c>
      <c r="B292" t="str">
        <f t="shared" si="16"/>
        <v>Mid-Level</v>
      </c>
      <c r="C292" t="str">
        <f t="shared" si="17"/>
        <v>Data Scientist</v>
      </c>
      <c r="D292">
        <v>4.4000000000000004</v>
      </c>
      <c r="E292" t="s">
        <v>332</v>
      </c>
      <c r="F292" t="str">
        <f t="shared" si="18"/>
        <v>Columbia</v>
      </c>
      <c r="G292" t="s">
        <v>25</v>
      </c>
      <c r="H292" t="s">
        <v>184</v>
      </c>
      <c r="I292">
        <v>39</v>
      </c>
      <c r="J292">
        <v>82</v>
      </c>
      <c r="K292">
        <v>60.5</v>
      </c>
      <c r="L292" t="str">
        <f t="shared" si="19"/>
        <v>$50–75K</v>
      </c>
      <c r="M292">
        <v>92</v>
      </c>
    </row>
    <row r="293" spans="1:13">
      <c r="A293" t="s">
        <v>253</v>
      </c>
      <c r="B293" t="str">
        <f t="shared" si="16"/>
        <v>Senior</v>
      </c>
      <c r="C293" t="str">
        <f t="shared" si="17"/>
        <v>Data Scientist</v>
      </c>
      <c r="D293">
        <v>3.7</v>
      </c>
      <c r="E293" t="s">
        <v>65</v>
      </c>
      <c r="F293" t="str">
        <f t="shared" si="18"/>
        <v>Worcester</v>
      </c>
      <c r="G293" t="s">
        <v>38</v>
      </c>
      <c r="H293" t="s">
        <v>55</v>
      </c>
      <c r="I293">
        <v>114</v>
      </c>
      <c r="J293">
        <v>179</v>
      </c>
      <c r="K293">
        <v>146.5</v>
      </c>
      <c r="L293" t="str">
        <f t="shared" si="19"/>
        <v>$125–150K</v>
      </c>
      <c r="M293">
        <v>169</v>
      </c>
    </row>
    <row r="294" spans="1:13">
      <c r="A294" t="s">
        <v>333</v>
      </c>
      <c r="B294" t="str">
        <f t="shared" si="16"/>
        <v>Junior</v>
      </c>
      <c r="C294" t="str">
        <f t="shared" si="17"/>
        <v>Data Scientist</v>
      </c>
      <c r="D294">
        <v>3.9</v>
      </c>
      <c r="E294" t="s">
        <v>219</v>
      </c>
      <c r="F294" t="str">
        <f t="shared" si="18"/>
        <v>South San Francisco</v>
      </c>
      <c r="G294" t="s">
        <v>14</v>
      </c>
      <c r="H294" t="s">
        <v>45</v>
      </c>
      <c r="I294">
        <v>88</v>
      </c>
      <c r="J294">
        <v>162</v>
      </c>
      <c r="K294">
        <v>125</v>
      </c>
      <c r="L294" t="str">
        <f t="shared" si="19"/>
        <v>$125–150K</v>
      </c>
      <c r="M294">
        <v>45</v>
      </c>
    </row>
    <row r="295" spans="1:13">
      <c r="A295" t="s">
        <v>334</v>
      </c>
      <c r="B295" t="str">
        <f t="shared" si="16"/>
        <v>Senior</v>
      </c>
      <c r="C295" t="str">
        <f t="shared" si="17"/>
        <v>Data Analyst</v>
      </c>
      <c r="D295">
        <v>3.6</v>
      </c>
      <c r="E295" t="s">
        <v>217</v>
      </c>
      <c r="F295" t="str">
        <f t="shared" si="18"/>
        <v>Springfield</v>
      </c>
      <c r="G295" t="s">
        <v>38</v>
      </c>
      <c r="H295" t="s">
        <v>55</v>
      </c>
      <c r="I295">
        <v>60</v>
      </c>
      <c r="J295">
        <v>102</v>
      </c>
      <c r="K295">
        <v>81</v>
      </c>
      <c r="L295" t="str">
        <f t="shared" si="19"/>
        <v>$75–100K</v>
      </c>
      <c r="M295">
        <v>170</v>
      </c>
    </row>
    <row r="296" spans="1:13">
      <c r="A296" t="s">
        <v>256</v>
      </c>
      <c r="B296" t="str">
        <f t="shared" si="16"/>
        <v>Senior</v>
      </c>
      <c r="C296" t="str">
        <f t="shared" si="17"/>
        <v>ML Engineer</v>
      </c>
      <c r="D296">
        <v>3</v>
      </c>
      <c r="E296" t="s">
        <v>59</v>
      </c>
      <c r="F296" t="str">
        <f t="shared" si="18"/>
        <v>Chicago</v>
      </c>
      <c r="G296" t="s">
        <v>9</v>
      </c>
      <c r="H296" t="s">
        <v>45</v>
      </c>
      <c r="I296">
        <v>100</v>
      </c>
      <c r="J296">
        <v>166</v>
      </c>
      <c r="K296">
        <v>133</v>
      </c>
      <c r="L296" t="str">
        <f t="shared" si="19"/>
        <v>$125–150K</v>
      </c>
      <c r="M296">
        <v>6</v>
      </c>
    </row>
    <row r="297" spans="1:13">
      <c r="A297" t="s">
        <v>335</v>
      </c>
      <c r="B297" t="str">
        <f t="shared" si="16"/>
        <v>Mid-Level</v>
      </c>
      <c r="C297" t="str">
        <f t="shared" si="17"/>
        <v>Data Analyst</v>
      </c>
      <c r="D297">
        <v>3.4</v>
      </c>
      <c r="E297" t="s">
        <v>87</v>
      </c>
      <c r="F297" t="str">
        <f t="shared" si="18"/>
        <v>Washington</v>
      </c>
      <c r="G297" t="s">
        <v>14</v>
      </c>
      <c r="H297" t="s">
        <v>74</v>
      </c>
      <c r="I297">
        <v>55</v>
      </c>
      <c r="J297">
        <v>99</v>
      </c>
      <c r="K297">
        <v>77</v>
      </c>
      <c r="L297" t="str">
        <f t="shared" si="19"/>
        <v>$75–100K</v>
      </c>
      <c r="M297">
        <v>25</v>
      </c>
    </row>
    <row r="298" spans="1:13">
      <c r="A298" t="s">
        <v>80</v>
      </c>
      <c r="B298" t="str">
        <f t="shared" si="16"/>
        <v>Mid-Level</v>
      </c>
      <c r="C298" t="str">
        <f t="shared" si="17"/>
        <v>Data Engineer</v>
      </c>
      <c r="D298">
        <v>4.0999999999999996</v>
      </c>
      <c r="E298" t="s">
        <v>37</v>
      </c>
      <c r="F298" t="str">
        <f t="shared" si="18"/>
        <v>Herndon</v>
      </c>
      <c r="G298" t="s">
        <v>38</v>
      </c>
      <c r="H298" t="s">
        <v>39</v>
      </c>
      <c r="I298">
        <v>67</v>
      </c>
      <c r="J298">
        <v>117</v>
      </c>
      <c r="K298">
        <v>92</v>
      </c>
      <c r="L298" t="str">
        <f t="shared" si="19"/>
        <v>$75–100K</v>
      </c>
      <c r="M298">
        <v>53</v>
      </c>
    </row>
    <row r="299" spans="1:13">
      <c r="A299" t="s">
        <v>336</v>
      </c>
      <c r="B299" t="str">
        <f t="shared" si="16"/>
        <v>Senior</v>
      </c>
      <c r="C299" t="str">
        <f t="shared" si="17"/>
        <v>Data Scientist</v>
      </c>
      <c r="D299">
        <v>3.8</v>
      </c>
      <c r="E299" t="s">
        <v>44</v>
      </c>
      <c r="F299" t="str">
        <f t="shared" si="18"/>
        <v>Cambridge</v>
      </c>
      <c r="G299" t="s">
        <v>14</v>
      </c>
      <c r="H299" t="s">
        <v>45</v>
      </c>
      <c r="I299">
        <v>92</v>
      </c>
      <c r="J299">
        <v>150</v>
      </c>
      <c r="K299">
        <v>121</v>
      </c>
      <c r="L299" t="str">
        <f t="shared" si="19"/>
        <v>$100–125K</v>
      </c>
      <c r="M299">
        <v>25</v>
      </c>
    </row>
    <row r="300" spans="1:13">
      <c r="A300" t="s">
        <v>337</v>
      </c>
      <c r="B300" t="str">
        <f t="shared" si="16"/>
        <v>Senior</v>
      </c>
      <c r="C300" t="str">
        <f t="shared" si="17"/>
        <v>Data Engineer</v>
      </c>
      <c r="D300">
        <v>4</v>
      </c>
      <c r="E300" t="s">
        <v>34</v>
      </c>
      <c r="F300" t="str">
        <f t="shared" si="18"/>
        <v>San Francisco</v>
      </c>
      <c r="G300" t="s">
        <v>38</v>
      </c>
      <c r="H300" t="s">
        <v>76</v>
      </c>
      <c r="I300">
        <v>116</v>
      </c>
      <c r="J300">
        <v>209</v>
      </c>
      <c r="K300">
        <v>162.5</v>
      </c>
      <c r="L300" t="str">
        <f t="shared" si="19"/>
        <v>&gt;$150K</v>
      </c>
      <c r="M300">
        <v>39</v>
      </c>
    </row>
    <row r="301" spans="1:13">
      <c r="A301" t="s">
        <v>338</v>
      </c>
      <c r="B301" t="str">
        <f t="shared" si="16"/>
        <v>Mid-Level</v>
      </c>
      <c r="C301" t="str">
        <f t="shared" si="17"/>
        <v>Research Scientist</v>
      </c>
      <c r="D301">
        <v>3.9</v>
      </c>
      <c r="E301" t="s">
        <v>339</v>
      </c>
      <c r="F301" t="str">
        <f t="shared" si="18"/>
        <v>San Antonio</v>
      </c>
      <c r="G301" t="s">
        <v>19</v>
      </c>
      <c r="H301" t="s">
        <v>39</v>
      </c>
      <c r="I301">
        <v>38</v>
      </c>
      <c r="J301">
        <v>82</v>
      </c>
      <c r="K301">
        <v>60</v>
      </c>
      <c r="L301" t="str">
        <f t="shared" si="19"/>
        <v>$50–75K</v>
      </c>
      <c r="M301">
        <v>74</v>
      </c>
    </row>
    <row r="302" spans="1:13">
      <c r="A302" t="s">
        <v>340</v>
      </c>
      <c r="B302" t="str">
        <f t="shared" si="16"/>
        <v>Senior</v>
      </c>
      <c r="C302" t="str">
        <f t="shared" si="17"/>
        <v>Data Scientist</v>
      </c>
      <c r="D302">
        <v>-1</v>
      </c>
      <c r="E302" t="s">
        <v>34</v>
      </c>
      <c r="F302" t="str">
        <f t="shared" si="18"/>
        <v>San Francisco</v>
      </c>
      <c r="G302" t="s">
        <v>25</v>
      </c>
      <c r="H302">
        <v>-1</v>
      </c>
      <c r="I302">
        <v>85</v>
      </c>
      <c r="J302">
        <v>90</v>
      </c>
      <c r="K302">
        <v>87.5</v>
      </c>
      <c r="L302" t="str">
        <f t="shared" si="19"/>
        <v>$75–100K</v>
      </c>
      <c r="M302">
        <v>-1</v>
      </c>
    </row>
    <row r="303" spans="1:13">
      <c r="A303" t="s">
        <v>341</v>
      </c>
      <c r="B303" t="str">
        <f t="shared" si="16"/>
        <v>Mid-Level</v>
      </c>
      <c r="C303" t="str">
        <f t="shared" si="17"/>
        <v>Data Engineer</v>
      </c>
      <c r="D303">
        <v>4.4000000000000004</v>
      </c>
      <c r="E303" t="s">
        <v>125</v>
      </c>
      <c r="F303" t="str">
        <f t="shared" si="18"/>
        <v>Indianapolis</v>
      </c>
      <c r="G303" s="1">
        <v>18264</v>
      </c>
      <c r="H303" t="s">
        <v>52</v>
      </c>
      <c r="I303">
        <v>62</v>
      </c>
      <c r="J303">
        <v>119</v>
      </c>
      <c r="K303">
        <v>90.5</v>
      </c>
      <c r="L303" t="str">
        <f t="shared" si="19"/>
        <v>$75–100K</v>
      </c>
      <c r="M303">
        <v>6</v>
      </c>
    </row>
    <row r="304" spans="1:13">
      <c r="A304" t="s">
        <v>69</v>
      </c>
      <c r="B304" t="str">
        <f t="shared" si="16"/>
        <v>Mid-Level</v>
      </c>
      <c r="C304" t="str">
        <f t="shared" si="17"/>
        <v>ML Engineer</v>
      </c>
      <c r="D304">
        <v>3.8</v>
      </c>
      <c r="E304" t="s">
        <v>44</v>
      </c>
      <c r="F304" t="str">
        <f t="shared" si="18"/>
        <v>Cambridge</v>
      </c>
      <c r="G304" t="s">
        <v>14</v>
      </c>
      <c r="H304" t="s">
        <v>45</v>
      </c>
      <c r="I304">
        <v>86</v>
      </c>
      <c r="J304">
        <v>143</v>
      </c>
      <c r="K304">
        <v>114.5</v>
      </c>
      <c r="L304" t="str">
        <f t="shared" si="19"/>
        <v>$100–125K</v>
      </c>
      <c r="M304">
        <v>25</v>
      </c>
    </row>
    <row r="305" spans="1:13">
      <c r="A305" t="s">
        <v>7</v>
      </c>
      <c r="B305" t="str">
        <f t="shared" si="16"/>
        <v>Mid-Level</v>
      </c>
      <c r="C305" t="str">
        <f t="shared" si="17"/>
        <v>Data Scientist</v>
      </c>
      <c r="D305">
        <v>3.8</v>
      </c>
      <c r="E305" t="s">
        <v>70</v>
      </c>
      <c r="F305" t="str">
        <f t="shared" si="18"/>
        <v>Sunnyvale</v>
      </c>
      <c r="G305" t="s">
        <v>38</v>
      </c>
      <c r="H305" t="s">
        <v>71</v>
      </c>
      <c r="I305">
        <v>93</v>
      </c>
      <c r="J305">
        <v>149</v>
      </c>
      <c r="K305">
        <v>121</v>
      </c>
      <c r="L305" t="str">
        <f t="shared" si="19"/>
        <v>$100–125K</v>
      </c>
      <c r="M305">
        <v>25</v>
      </c>
    </row>
    <row r="306" spans="1:13">
      <c r="A306" t="s">
        <v>78</v>
      </c>
      <c r="B306" t="str">
        <f t="shared" si="16"/>
        <v>Senior</v>
      </c>
      <c r="C306" t="str">
        <f t="shared" si="17"/>
        <v>Data Scientist</v>
      </c>
      <c r="D306">
        <v>2.2000000000000002</v>
      </c>
      <c r="E306" t="s">
        <v>24</v>
      </c>
      <c r="F306" t="str">
        <f t="shared" si="18"/>
        <v>Dallas</v>
      </c>
      <c r="G306" t="s">
        <v>9</v>
      </c>
      <c r="H306" t="s">
        <v>23</v>
      </c>
      <c r="I306">
        <v>84</v>
      </c>
      <c r="J306">
        <v>136</v>
      </c>
      <c r="K306">
        <v>110</v>
      </c>
      <c r="L306" t="str">
        <f t="shared" si="19"/>
        <v>$100–125K</v>
      </c>
      <c r="M306">
        <v>28</v>
      </c>
    </row>
    <row r="307" spans="1:13">
      <c r="A307" t="s">
        <v>254</v>
      </c>
      <c r="B307" t="str">
        <f t="shared" si="16"/>
        <v>Mid-Level</v>
      </c>
      <c r="C307" t="str">
        <f t="shared" si="17"/>
        <v>Data Scientist</v>
      </c>
      <c r="D307">
        <v>2.9</v>
      </c>
      <c r="E307" t="s">
        <v>255</v>
      </c>
      <c r="F307" t="str">
        <f t="shared" si="18"/>
        <v>Newton</v>
      </c>
      <c r="G307" t="s">
        <v>25</v>
      </c>
      <c r="H307" t="s">
        <v>45</v>
      </c>
      <c r="I307">
        <v>60</v>
      </c>
      <c r="J307">
        <v>123</v>
      </c>
      <c r="K307">
        <v>91.5</v>
      </c>
      <c r="L307" t="str">
        <f t="shared" si="19"/>
        <v>$75–100K</v>
      </c>
      <c r="M307">
        <v>-1</v>
      </c>
    </row>
    <row r="308" spans="1:13">
      <c r="A308" t="s">
        <v>342</v>
      </c>
      <c r="B308" t="str">
        <f t="shared" si="16"/>
        <v>Mid-Level</v>
      </c>
      <c r="C308" t="str">
        <f t="shared" si="17"/>
        <v>Data Analyst</v>
      </c>
      <c r="D308">
        <v>4.0999999999999996</v>
      </c>
      <c r="E308" t="s">
        <v>343</v>
      </c>
      <c r="F308" t="str">
        <f t="shared" si="18"/>
        <v>Portsmouth</v>
      </c>
      <c r="G308" t="s">
        <v>38</v>
      </c>
      <c r="H308" t="s">
        <v>39</v>
      </c>
      <c r="I308">
        <v>52</v>
      </c>
      <c r="J308">
        <v>89</v>
      </c>
      <c r="K308">
        <v>70.5</v>
      </c>
      <c r="L308" t="str">
        <f t="shared" si="19"/>
        <v>$50–75K</v>
      </c>
      <c r="M308">
        <v>53</v>
      </c>
    </row>
    <row r="309" spans="1:13">
      <c r="A309" t="s">
        <v>80</v>
      </c>
      <c r="B309" t="str">
        <f t="shared" si="16"/>
        <v>Mid-Level</v>
      </c>
      <c r="C309" t="str">
        <f t="shared" si="17"/>
        <v>Data Engineer</v>
      </c>
      <c r="D309">
        <v>3.7</v>
      </c>
      <c r="E309" t="s">
        <v>258</v>
      </c>
      <c r="F309" t="str">
        <f t="shared" si="18"/>
        <v>Lafayette</v>
      </c>
      <c r="G309" t="s">
        <v>9</v>
      </c>
      <c r="H309" t="s">
        <v>76</v>
      </c>
      <c r="I309">
        <v>48</v>
      </c>
      <c r="J309">
        <v>93</v>
      </c>
      <c r="K309">
        <v>70.5</v>
      </c>
      <c r="L309" t="str">
        <f t="shared" si="19"/>
        <v>$50–75K</v>
      </c>
      <c r="M309">
        <v>-1</v>
      </c>
    </row>
    <row r="310" spans="1:13">
      <c r="A310" t="s">
        <v>344</v>
      </c>
      <c r="B310" t="str">
        <f t="shared" si="16"/>
        <v>Mid-Level</v>
      </c>
      <c r="C310" t="str">
        <f t="shared" si="17"/>
        <v>Data Scientist</v>
      </c>
      <c r="D310">
        <v>3.8</v>
      </c>
      <c r="E310" t="s">
        <v>18</v>
      </c>
      <c r="F310" t="str">
        <f t="shared" si="18"/>
        <v>Richland</v>
      </c>
      <c r="G310" t="s">
        <v>19</v>
      </c>
      <c r="H310" t="s">
        <v>20</v>
      </c>
      <c r="I310">
        <v>56</v>
      </c>
      <c r="J310">
        <v>97</v>
      </c>
      <c r="K310">
        <v>76.5</v>
      </c>
      <c r="L310" t="str">
        <f t="shared" si="19"/>
        <v>$75–100K</v>
      </c>
      <c r="M310">
        <v>56</v>
      </c>
    </row>
    <row r="311" spans="1:13">
      <c r="A311" t="s">
        <v>80</v>
      </c>
      <c r="B311" t="str">
        <f t="shared" si="16"/>
        <v>Mid-Level</v>
      </c>
      <c r="C311" t="str">
        <f t="shared" si="17"/>
        <v>Data Engineer</v>
      </c>
      <c r="D311">
        <v>3.6</v>
      </c>
      <c r="E311" t="s">
        <v>217</v>
      </c>
      <c r="F311" t="str">
        <f t="shared" si="18"/>
        <v>Springfield</v>
      </c>
      <c r="G311" t="s">
        <v>38</v>
      </c>
      <c r="H311" t="s">
        <v>55</v>
      </c>
      <c r="I311">
        <v>65</v>
      </c>
      <c r="J311">
        <v>119</v>
      </c>
      <c r="K311">
        <v>92</v>
      </c>
      <c r="L311" t="str">
        <f t="shared" si="19"/>
        <v>$75–100K</v>
      </c>
      <c r="M311">
        <v>170</v>
      </c>
    </row>
    <row r="312" spans="1:13">
      <c r="A312" t="s">
        <v>257</v>
      </c>
      <c r="B312" t="str">
        <f t="shared" si="16"/>
        <v>Senior</v>
      </c>
      <c r="C312" t="str">
        <f t="shared" si="17"/>
        <v>Data Scientist</v>
      </c>
      <c r="D312">
        <v>4.7</v>
      </c>
      <c r="E312" t="s">
        <v>204</v>
      </c>
      <c r="F312" t="str">
        <f t="shared" si="18"/>
        <v>Salt Lake City</v>
      </c>
      <c r="G312" t="s">
        <v>22</v>
      </c>
      <c r="H312" t="s">
        <v>45</v>
      </c>
      <c r="I312">
        <v>108</v>
      </c>
      <c r="J312">
        <v>173</v>
      </c>
      <c r="K312">
        <v>140.5</v>
      </c>
      <c r="L312" t="str">
        <f t="shared" si="19"/>
        <v>$125–150K</v>
      </c>
      <c r="M312">
        <v>8</v>
      </c>
    </row>
    <row r="313" spans="1:13">
      <c r="A313" t="s">
        <v>345</v>
      </c>
      <c r="B313" t="str">
        <f t="shared" si="16"/>
        <v>Mid-Level</v>
      </c>
      <c r="C313" t="str">
        <f t="shared" si="17"/>
        <v>Data Scientist</v>
      </c>
      <c r="D313">
        <v>3.5</v>
      </c>
      <c r="E313" t="s">
        <v>140</v>
      </c>
      <c r="F313" t="str">
        <f t="shared" si="18"/>
        <v>Arlington</v>
      </c>
      <c r="G313" t="s">
        <v>19</v>
      </c>
      <c r="H313" t="s">
        <v>76</v>
      </c>
      <c r="I313">
        <v>63</v>
      </c>
      <c r="J313">
        <v>101</v>
      </c>
      <c r="K313">
        <v>82</v>
      </c>
      <c r="L313" t="str">
        <f t="shared" si="19"/>
        <v>$75–100K</v>
      </c>
      <c r="M313">
        <v>52</v>
      </c>
    </row>
    <row r="314" spans="1:13">
      <c r="A314" t="s">
        <v>259</v>
      </c>
      <c r="B314" t="str">
        <f t="shared" si="16"/>
        <v>Senior</v>
      </c>
      <c r="C314" t="str">
        <f t="shared" si="17"/>
        <v>Data Scientist</v>
      </c>
      <c r="D314">
        <v>3.3</v>
      </c>
      <c r="E314" t="s">
        <v>32</v>
      </c>
      <c r="F314" t="str">
        <f t="shared" si="18"/>
        <v>Rochester</v>
      </c>
      <c r="G314" t="s">
        <v>14</v>
      </c>
      <c r="H314" t="s">
        <v>15</v>
      </c>
      <c r="I314">
        <v>54</v>
      </c>
      <c r="J314">
        <v>115</v>
      </c>
      <c r="K314">
        <v>84.5</v>
      </c>
      <c r="L314" t="str">
        <f t="shared" si="19"/>
        <v>$75–100K</v>
      </c>
      <c r="M314">
        <v>7</v>
      </c>
    </row>
    <row r="315" spans="1:13">
      <c r="A315" t="s">
        <v>262</v>
      </c>
      <c r="B315" t="str">
        <f t="shared" si="16"/>
        <v>Senior</v>
      </c>
      <c r="C315" t="str">
        <f t="shared" si="17"/>
        <v>Data Scientist</v>
      </c>
      <c r="D315">
        <v>4.4000000000000004</v>
      </c>
      <c r="E315" t="s">
        <v>44</v>
      </c>
      <c r="F315" t="str">
        <f t="shared" si="18"/>
        <v>Cambridge</v>
      </c>
      <c r="G315" t="s">
        <v>25</v>
      </c>
      <c r="H315" t="s">
        <v>45</v>
      </c>
      <c r="I315">
        <v>90</v>
      </c>
      <c r="J315">
        <v>179</v>
      </c>
      <c r="K315">
        <v>134.5</v>
      </c>
      <c r="L315" t="str">
        <f t="shared" si="19"/>
        <v>$125–150K</v>
      </c>
      <c r="M315">
        <v>8</v>
      </c>
    </row>
    <row r="316" spans="1:13">
      <c r="A316" t="s">
        <v>7</v>
      </c>
      <c r="B316" t="str">
        <f t="shared" si="16"/>
        <v>Mid-Level</v>
      </c>
      <c r="C316" t="str">
        <f t="shared" si="17"/>
        <v>Data Scientist</v>
      </c>
      <c r="D316">
        <v>3.3</v>
      </c>
      <c r="E316" t="s">
        <v>34</v>
      </c>
      <c r="F316" t="str">
        <f t="shared" si="18"/>
        <v>San Francisco</v>
      </c>
      <c r="G316" t="s">
        <v>25</v>
      </c>
      <c r="H316" t="s">
        <v>23</v>
      </c>
      <c r="I316">
        <v>127</v>
      </c>
      <c r="J316">
        <v>202</v>
      </c>
      <c r="K316">
        <v>164.5</v>
      </c>
      <c r="L316" t="str">
        <f t="shared" si="19"/>
        <v>&gt;$150K</v>
      </c>
      <c r="M316">
        <v>13</v>
      </c>
    </row>
    <row r="317" spans="1:13">
      <c r="A317" t="s">
        <v>346</v>
      </c>
      <c r="B317" t="str">
        <f t="shared" si="16"/>
        <v>Mid-Level</v>
      </c>
      <c r="C317" t="str">
        <f t="shared" si="17"/>
        <v>Data Analyst</v>
      </c>
      <c r="D317">
        <v>3.4</v>
      </c>
      <c r="E317" t="s">
        <v>347</v>
      </c>
      <c r="F317" t="str">
        <f t="shared" si="18"/>
        <v>West Palm Beach</v>
      </c>
      <c r="G317" t="s">
        <v>25</v>
      </c>
      <c r="H317" t="s">
        <v>348</v>
      </c>
      <c r="I317">
        <v>31</v>
      </c>
      <c r="J317">
        <v>57</v>
      </c>
      <c r="K317">
        <v>44</v>
      </c>
      <c r="L317" t="str">
        <f t="shared" si="19"/>
        <v>&lt;$50K</v>
      </c>
      <c r="M317">
        <v>30</v>
      </c>
    </row>
    <row r="318" spans="1:13">
      <c r="A318" t="s">
        <v>260</v>
      </c>
      <c r="B318" t="str">
        <f t="shared" si="16"/>
        <v>Mid-Level</v>
      </c>
      <c r="C318" t="str">
        <f t="shared" si="17"/>
        <v>Data Scientist</v>
      </c>
      <c r="D318">
        <v>4</v>
      </c>
      <c r="E318" t="s">
        <v>261</v>
      </c>
      <c r="F318" t="str">
        <f t="shared" si="18"/>
        <v>Annapolis Junction</v>
      </c>
      <c r="G318" t="s">
        <v>22</v>
      </c>
      <c r="H318" t="s">
        <v>76</v>
      </c>
      <c r="I318">
        <v>60</v>
      </c>
      <c r="J318">
        <v>127</v>
      </c>
      <c r="K318">
        <v>93.5</v>
      </c>
      <c r="L318" t="str">
        <f t="shared" si="19"/>
        <v>$75–100K</v>
      </c>
      <c r="M318">
        <v>19</v>
      </c>
    </row>
    <row r="319" spans="1:13">
      <c r="A319" t="s">
        <v>80</v>
      </c>
      <c r="B319" t="str">
        <f t="shared" si="16"/>
        <v>Mid-Level</v>
      </c>
      <c r="C319" t="str">
        <f t="shared" si="17"/>
        <v>Data Engineer</v>
      </c>
      <c r="D319">
        <v>4.4000000000000004</v>
      </c>
      <c r="E319" t="s">
        <v>37</v>
      </c>
      <c r="F319" t="str">
        <f t="shared" si="18"/>
        <v>Herndon</v>
      </c>
      <c r="G319" s="1">
        <v>18264</v>
      </c>
      <c r="H319" t="s">
        <v>52</v>
      </c>
      <c r="I319">
        <v>75</v>
      </c>
      <c r="J319">
        <v>143</v>
      </c>
      <c r="K319">
        <v>109</v>
      </c>
      <c r="L319" t="str">
        <f t="shared" si="19"/>
        <v>$100–125K</v>
      </c>
      <c r="M319">
        <v>6</v>
      </c>
    </row>
    <row r="320" spans="1:13">
      <c r="A320" t="s">
        <v>349</v>
      </c>
      <c r="B320" t="str">
        <f t="shared" si="16"/>
        <v>Mid-Level</v>
      </c>
      <c r="C320" t="str">
        <f t="shared" si="17"/>
        <v>Data Engineer</v>
      </c>
      <c r="D320">
        <v>3.8</v>
      </c>
      <c r="E320" t="s">
        <v>307</v>
      </c>
      <c r="F320" t="str">
        <f t="shared" si="18"/>
        <v>Austin</v>
      </c>
      <c r="G320" t="s">
        <v>9</v>
      </c>
      <c r="H320" t="s">
        <v>76</v>
      </c>
      <c r="I320">
        <v>105</v>
      </c>
      <c r="J320">
        <v>194</v>
      </c>
      <c r="K320">
        <v>149.5</v>
      </c>
      <c r="L320" t="str">
        <f t="shared" si="19"/>
        <v>$125–150K</v>
      </c>
      <c r="M320">
        <v>11</v>
      </c>
    </row>
    <row r="321" spans="1:13">
      <c r="A321" t="s">
        <v>350</v>
      </c>
      <c r="B321" t="str">
        <f t="shared" si="16"/>
        <v>Junior</v>
      </c>
      <c r="C321" t="str">
        <f t="shared" si="17"/>
        <v>Data Engineer</v>
      </c>
      <c r="D321">
        <v>3.5</v>
      </c>
      <c r="E321" t="s">
        <v>87</v>
      </c>
      <c r="F321" t="str">
        <f t="shared" si="18"/>
        <v>Washington</v>
      </c>
      <c r="G321" t="s">
        <v>19</v>
      </c>
      <c r="H321" t="s">
        <v>39</v>
      </c>
      <c r="I321">
        <v>45</v>
      </c>
      <c r="J321">
        <v>86</v>
      </c>
      <c r="K321">
        <v>65.5</v>
      </c>
      <c r="L321" t="str">
        <f t="shared" si="19"/>
        <v>$50–75K</v>
      </c>
      <c r="M321">
        <v>14</v>
      </c>
    </row>
    <row r="322" spans="1:13">
      <c r="A322" t="s">
        <v>78</v>
      </c>
      <c r="B322" t="str">
        <f t="shared" si="16"/>
        <v>Senior</v>
      </c>
      <c r="C322" t="str">
        <f t="shared" si="17"/>
        <v>Data Scientist</v>
      </c>
      <c r="D322">
        <v>3.5</v>
      </c>
      <c r="E322" t="s">
        <v>164</v>
      </c>
      <c r="F322" t="str">
        <f t="shared" si="18"/>
        <v>Charlotte</v>
      </c>
      <c r="G322" t="s">
        <v>19</v>
      </c>
      <c r="H322" t="s">
        <v>55</v>
      </c>
      <c r="I322">
        <v>95</v>
      </c>
      <c r="J322">
        <v>154</v>
      </c>
      <c r="K322">
        <v>124.5</v>
      </c>
      <c r="L322" t="str">
        <f t="shared" si="19"/>
        <v>$100–125K</v>
      </c>
      <c r="M322">
        <v>4</v>
      </c>
    </row>
    <row r="323" spans="1:13">
      <c r="A323" t="s">
        <v>351</v>
      </c>
      <c r="B323" t="str">
        <f t="shared" ref="B323:B386" si="20">IF(OR(ISNUMBER(SEARCH("Senior",A323)),ISNUMBER(SEARCH("Sr",A323)),ISNUMBER(SEARCH("Lead",A323)),ISNUMBER(SEARCH("Principal",A323))),"Senior",IF(OR(ISNUMBER(SEARCH("Junior",A323)),ISNUMBER(SEARCH("Jr",A323)),ISNUMBER(SEARCH("Entry",A323)),ISNUMBER(SEARCH("Associate",A323))),"Junior",IF(OR(ISNUMBER(SEARCH("Manager",A323)),ISNUMBER(SEARCH("Director",A323)),ISNUMBER(SEARCH("Head",A323)),ISNUMBER(SEARCH("VP",A323))),"Management","Mid-Level")))</f>
        <v>Mid-Level</v>
      </c>
      <c r="C323" t="str">
        <f t="shared" ref="C323:C386" si="21">IF(ISNUMBER(SEARCH("Machine Learn",A323)),"ML Engineer",IF(ISNUMBER(SEARCH("Data Engineer",A323)),"Data Engineer",IF(ISNUMBER(SEARCH("Data Analyst",A323)),"Data Analyst",IF(ISNUMBER(SEARCH("Business Analyst",A323)),"Business Analyst",IF(ISNUMBER(SEARCH("Research",A323)),"Research Scientist",IF(ISNUMBER(SEARCH("Manager",A323)),"DS Manager",IF(ISNUMBER(SEARCH("Director",A323)),"Director/VP","Data Scientist")))))))</f>
        <v>Data Engineer</v>
      </c>
      <c r="D323">
        <v>2.9</v>
      </c>
      <c r="E323" t="s">
        <v>28</v>
      </c>
      <c r="F323" t="str">
        <f t="shared" ref="F323:F386" si="22">IFERROR(LEFT(E323, FIND(",", E323)-1), E323)</f>
        <v>San Jose</v>
      </c>
      <c r="G323" t="s">
        <v>22</v>
      </c>
      <c r="H323" t="s">
        <v>23</v>
      </c>
      <c r="I323">
        <v>80</v>
      </c>
      <c r="J323">
        <v>148</v>
      </c>
      <c r="K323">
        <v>114</v>
      </c>
      <c r="L323" t="str">
        <f t="shared" ref="L323:L386" si="23">IF(K323&lt;50,"&lt;$50K",IF(K323&lt;75,"$50–75K",IF(K323&lt;100,"$75–100K",IF(K323&lt;125,"$100–125K",IF(K323&lt;150,"$125–150K","&gt;$150K")))))</f>
        <v>$100–125K</v>
      </c>
      <c r="M323">
        <v>23</v>
      </c>
    </row>
    <row r="324" spans="1:13">
      <c r="A324" t="s">
        <v>266</v>
      </c>
      <c r="B324" t="str">
        <f t="shared" si="20"/>
        <v>Mid-Level</v>
      </c>
      <c r="C324" t="str">
        <f t="shared" si="21"/>
        <v>Data Analyst</v>
      </c>
      <c r="D324">
        <v>3.9</v>
      </c>
      <c r="E324" t="s">
        <v>352</v>
      </c>
      <c r="F324" t="str">
        <f t="shared" si="22"/>
        <v>Exton</v>
      </c>
      <c r="G324" t="s">
        <v>9</v>
      </c>
      <c r="H324" t="s">
        <v>27</v>
      </c>
      <c r="I324">
        <v>36</v>
      </c>
      <c r="J324">
        <v>62</v>
      </c>
      <c r="K324">
        <v>49</v>
      </c>
      <c r="L324" t="str">
        <f t="shared" si="23"/>
        <v>&lt;$50K</v>
      </c>
      <c r="M324">
        <v>84</v>
      </c>
    </row>
    <row r="325" spans="1:13">
      <c r="A325" t="s">
        <v>264</v>
      </c>
      <c r="B325" t="str">
        <f t="shared" si="20"/>
        <v>Senior</v>
      </c>
      <c r="C325" t="str">
        <f t="shared" si="21"/>
        <v>Data Scientist</v>
      </c>
      <c r="D325">
        <v>3.3</v>
      </c>
      <c r="E325" t="s">
        <v>32</v>
      </c>
      <c r="F325" t="str">
        <f t="shared" si="22"/>
        <v>Rochester</v>
      </c>
      <c r="G325" t="s">
        <v>14</v>
      </c>
      <c r="H325" t="s">
        <v>15</v>
      </c>
      <c r="I325">
        <v>54</v>
      </c>
      <c r="J325">
        <v>115</v>
      </c>
      <c r="K325">
        <v>84.5</v>
      </c>
      <c r="L325" t="str">
        <f t="shared" si="23"/>
        <v>$75–100K</v>
      </c>
      <c r="M325">
        <v>7</v>
      </c>
    </row>
    <row r="326" spans="1:13">
      <c r="A326" t="s">
        <v>43</v>
      </c>
      <c r="B326" t="str">
        <f t="shared" si="20"/>
        <v>Mid-Level</v>
      </c>
      <c r="C326" t="str">
        <f t="shared" si="21"/>
        <v>Data Analyst</v>
      </c>
      <c r="D326">
        <v>3.7</v>
      </c>
      <c r="E326" t="s">
        <v>88</v>
      </c>
      <c r="F326" t="str">
        <f t="shared" si="22"/>
        <v>Alexandria</v>
      </c>
      <c r="G326" t="s">
        <v>9</v>
      </c>
      <c r="H326" t="s">
        <v>74</v>
      </c>
      <c r="I326">
        <v>50</v>
      </c>
      <c r="J326">
        <v>92</v>
      </c>
      <c r="K326">
        <v>71</v>
      </c>
      <c r="L326" t="str">
        <f t="shared" si="23"/>
        <v>$50–75K</v>
      </c>
      <c r="M326">
        <v>32</v>
      </c>
    </row>
    <row r="327" spans="1:13">
      <c r="A327" t="s">
        <v>353</v>
      </c>
      <c r="B327" t="str">
        <f t="shared" si="20"/>
        <v>Management</v>
      </c>
      <c r="C327" t="str">
        <f t="shared" si="21"/>
        <v>Director/VP</v>
      </c>
      <c r="D327">
        <v>3.6</v>
      </c>
      <c r="E327" t="s">
        <v>102</v>
      </c>
      <c r="F327" t="str">
        <f t="shared" si="22"/>
        <v>Boston</v>
      </c>
      <c r="G327" t="s">
        <v>38</v>
      </c>
      <c r="H327" t="s">
        <v>55</v>
      </c>
      <c r="I327">
        <v>67</v>
      </c>
      <c r="J327">
        <v>135</v>
      </c>
      <c r="K327">
        <v>101</v>
      </c>
      <c r="L327" t="str">
        <f t="shared" si="23"/>
        <v>$100–125K</v>
      </c>
      <c r="M327">
        <v>170</v>
      </c>
    </row>
    <row r="328" spans="1:13">
      <c r="A328" t="s">
        <v>7</v>
      </c>
      <c r="B328" t="str">
        <f t="shared" si="20"/>
        <v>Mid-Level</v>
      </c>
      <c r="C328" t="str">
        <f t="shared" si="21"/>
        <v>Data Scientist</v>
      </c>
      <c r="D328">
        <v>3.5</v>
      </c>
      <c r="E328" t="s">
        <v>75</v>
      </c>
      <c r="F328" t="str">
        <f t="shared" si="22"/>
        <v>Redlands</v>
      </c>
      <c r="G328" t="s">
        <v>19</v>
      </c>
      <c r="H328" t="s">
        <v>76</v>
      </c>
      <c r="I328">
        <v>82</v>
      </c>
      <c r="J328">
        <v>132</v>
      </c>
      <c r="K328">
        <v>107</v>
      </c>
      <c r="L328" t="str">
        <f t="shared" si="23"/>
        <v>$100–125K</v>
      </c>
      <c r="M328">
        <v>52</v>
      </c>
    </row>
    <row r="329" spans="1:13">
      <c r="A329" t="s">
        <v>7</v>
      </c>
      <c r="B329" t="str">
        <f t="shared" si="20"/>
        <v>Mid-Level</v>
      </c>
      <c r="C329" t="str">
        <f t="shared" si="21"/>
        <v>Data Scientist</v>
      </c>
      <c r="D329">
        <v>4.7</v>
      </c>
      <c r="E329" t="s">
        <v>72</v>
      </c>
      <c r="F329" t="str">
        <f t="shared" si="22"/>
        <v>Ipswich</v>
      </c>
      <c r="G329" t="s">
        <v>25</v>
      </c>
      <c r="H329" t="s">
        <v>45</v>
      </c>
      <c r="I329">
        <v>85</v>
      </c>
      <c r="J329">
        <v>140</v>
      </c>
      <c r="K329">
        <v>112.5</v>
      </c>
      <c r="L329" t="str">
        <f t="shared" si="23"/>
        <v>$100–125K</v>
      </c>
      <c r="M329">
        <v>47</v>
      </c>
    </row>
    <row r="330" spans="1:13">
      <c r="A330" t="s">
        <v>263</v>
      </c>
      <c r="B330" t="str">
        <f t="shared" si="20"/>
        <v>Mid-Level</v>
      </c>
      <c r="C330" t="str">
        <f t="shared" si="21"/>
        <v>ML Engineer</v>
      </c>
      <c r="D330">
        <v>3.9</v>
      </c>
      <c r="E330" t="s">
        <v>34</v>
      </c>
      <c r="F330" t="str">
        <f t="shared" si="22"/>
        <v>San Francisco</v>
      </c>
      <c r="G330" t="s">
        <v>25</v>
      </c>
      <c r="H330" t="s">
        <v>33</v>
      </c>
      <c r="I330">
        <v>138</v>
      </c>
      <c r="J330">
        <v>224</v>
      </c>
      <c r="K330">
        <v>181</v>
      </c>
      <c r="L330" t="str">
        <f t="shared" si="23"/>
        <v>&gt;$150K</v>
      </c>
      <c r="M330">
        <v>14</v>
      </c>
    </row>
    <row r="331" spans="1:13">
      <c r="A331" t="s">
        <v>323</v>
      </c>
      <c r="B331" t="str">
        <f t="shared" si="20"/>
        <v>Mid-Level</v>
      </c>
      <c r="C331" t="str">
        <f t="shared" si="21"/>
        <v>Data Analyst</v>
      </c>
      <c r="D331">
        <v>3.7</v>
      </c>
      <c r="E331" t="s">
        <v>59</v>
      </c>
      <c r="F331" t="str">
        <f t="shared" si="22"/>
        <v>Chicago</v>
      </c>
      <c r="G331" t="s">
        <v>14</v>
      </c>
      <c r="H331" t="s">
        <v>76</v>
      </c>
      <c r="I331">
        <v>42</v>
      </c>
      <c r="J331">
        <v>80</v>
      </c>
      <c r="K331">
        <v>61</v>
      </c>
      <c r="L331" t="str">
        <f t="shared" si="23"/>
        <v>$50–75K</v>
      </c>
      <c r="M331">
        <v>93</v>
      </c>
    </row>
    <row r="332" spans="1:13">
      <c r="A332" t="s">
        <v>265</v>
      </c>
      <c r="B332" t="str">
        <f t="shared" si="20"/>
        <v>Senior</v>
      </c>
      <c r="C332" t="str">
        <f t="shared" si="21"/>
        <v>Data Engineer</v>
      </c>
      <c r="D332">
        <v>4.0999999999999996</v>
      </c>
      <c r="E332" t="s">
        <v>51</v>
      </c>
      <c r="F332" t="str">
        <f t="shared" si="22"/>
        <v>Mountain View</v>
      </c>
      <c r="G332" t="s">
        <v>22</v>
      </c>
      <c r="H332" t="s">
        <v>33</v>
      </c>
      <c r="I332">
        <v>190</v>
      </c>
      <c r="J332">
        <v>220</v>
      </c>
      <c r="K332">
        <v>205</v>
      </c>
      <c r="L332" t="str">
        <f t="shared" si="23"/>
        <v>&gt;$150K</v>
      </c>
      <c r="M332">
        <v>11</v>
      </c>
    </row>
    <row r="333" spans="1:13">
      <c r="A333" t="s">
        <v>354</v>
      </c>
      <c r="B333" t="str">
        <f t="shared" si="20"/>
        <v>Mid-Level</v>
      </c>
      <c r="C333" t="str">
        <f t="shared" si="21"/>
        <v>Data Scientist</v>
      </c>
      <c r="D333">
        <v>3.1</v>
      </c>
      <c r="E333" t="s">
        <v>355</v>
      </c>
      <c r="F333" t="str">
        <f t="shared" si="22"/>
        <v>Owensboro</v>
      </c>
      <c r="G333" t="s">
        <v>38</v>
      </c>
      <c r="H333" t="s">
        <v>86</v>
      </c>
      <c r="I333">
        <v>68</v>
      </c>
      <c r="J333">
        <v>139</v>
      </c>
      <c r="K333">
        <v>103.5</v>
      </c>
      <c r="L333" t="str">
        <f t="shared" si="23"/>
        <v>$100–125K</v>
      </c>
      <c r="M333">
        <v>146</v>
      </c>
    </row>
    <row r="334" spans="1:13">
      <c r="A334" t="s">
        <v>357</v>
      </c>
      <c r="B334" t="str">
        <f t="shared" si="20"/>
        <v>Management</v>
      </c>
      <c r="C334" t="str">
        <f t="shared" si="21"/>
        <v>DS Manager</v>
      </c>
      <c r="D334">
        <v>3.6</v>
      </c>
      <c r="E334" t="s">
        <v>217</v>
      </c>
      <c r="F334" t="str">
        <f t="shared" si="22"/>
        <v>Springfield</v>
      </c>
      <c r="G334" t="s">
        <v>38</v>
      </c>
      <c r="H334" t="s">
        <v>55</v>
      </c>
      <c r="I334">
        <v>34</v>
      </c>
      <c r="J334">
        <v>92</v>
      </c>
      <c r="K334">
        <v>63</v>
      </c>
      <c r="L334" t="str">
        <f t="shared" si="23"/>
        <v>$50–75K</v>
      </c>
      <c r="M334">
        <v>170</v>
      </c>
    </row>
    <row r="335" spans="1:13">
      <c r="A335" t="s">
        <v>358</v>
      </c>
      <c r="B335" t="str">
        <f t="shared" si="20"/>
        <v>Mid-Level</v>
      </c>
      <c r="C335" t="str">
        <f t="shared" si="21"/>
        <v>Data Scientist</v>
      </c>
      <c r="D335">
        <v>3</v>
      </c>
      <c r="E335" t="s">
        <v>359</v>
      </c>
      <c r="F335" t="str">
        <f t="shared" si="22"/>
        <v>Hartford</v>
      </c>
      <c r="G335" t="s">
        <v>14</v>
      </c>
      <c r="H335" t="s">
        <v>74</v>
      </c>
      <c r="I335">
        <v>54</v>
      </c>
      <c r="J335">
        <v>71</v>
      </c>
      <c r="K335">
        <v>62.5</v>
      </c>
      <c r="L335" t="str">
        <f t="shared" si="23"/>
        <v>$50–75K</v>
      </c>
      <c r="M335">
        <v>40</v>
      </c>
    </row>
    <row r="336" spans="1:13">
      <c r="A336" t="s">
        <v>80</v>
      </c>
      <c r="B336" t="str">
        <f t="shared" si="20"/>
        <v>Mid-Level</v>
      </c>
      <c r="C336" t="str">
        <f t="shared" si="21"/>
        <v>Data Engineer</v>
      </c>
      <c r="D336">
        <v>3.5</v>
      </c>
      <c r="E336" t="s">
        <v>360</v>
      </c>
      <c r="F336" t="str">
        <f t="shared" si="22"/>
        <v>Orange</v>
      </c>
      <c r="G336" t="s">
        <v>9</v>
      </c>
      <c r="H336" t="s">
        <v>15</v>
      </c>
      <c r="I336">
        <v>65</v>
      </c>
      <c r="J336">
        <v>124</v>
      </c>
      <c r="K336">
        <v>94.5</v>
      </c>
      <c r="L336" t="str">
        <f t="shared" si="23"/>
        <v>$75–100K</v>
      </c>
      <c r="M336">
        <v>8</v>
      </c>
    </row>
    <row r="337" spans="1:13">
      <c r="A337" t="s">
        <v>266</v>
      </c>
      <c r="B337" t="str">
        <f t="shared" si="20"/>
        <v>Mid-Level</v>
      </c>
      <c r="C337" t="str">
        <f t="shared" si="21"/>
        <v>Data Analyst</v>
      </c>
      <c r="D337">
        <v>3.6</v>
      </c>
      <c r="E337" t="s">
        <v>267</v>
      </c>
      <c r="F337" t="str">
        <f t="shared" si="22"/>
        <v>Highland</v>
      </c>
      <c r="G337" t="s">
        <v>19</v>
      </c>
      <c r="H337" t="s">
        <v>268</v>
      </c>
      <c r="I337">
        <v>35</v>
      </c>
      <c r="J337">
        <v>62</v>
      </c>
      <c r="K337">
        <v>48.5</v>
      </c>
      <c r="L337" t="str">
        <f t="shared" si="23"/>
        <v>&lt;$50K</v>
      </c>
      <c r="M337">
        <v>35</v>
      </c>
    </row>
    <row r="338" spans="1:13">
      <c r="A338" t="s">
        <v>361</v>
      </c>
      <c r="B338" t="str">
        <f t="shared" si="20"/>
        <v>Senior</v>
      </c>
      <c r="C338" t="str">
        <f t="shared" si="21"/>
        <v>Data Scientist</v>
      </c>
      <c r="D338">
        <v>3.5</v>
      </c>
      <c r="E338" t="s">
        <v>82</v>
      </c>
      <c r="F338" t="str">
        <f t="shared" si="22"/>
        <v>Marlborough</v>
      </c>
      <c r="G338" t="s">
        <v>19</v>
      </c>
      <c r="H338" t="s">
        <v>45</v>
      </c>
      <c r="I338">
        <v>109</v>
      </c>
      <c r="J338">
        <v>200</v>
      </c>
      <c r="K338">
        <v>154.5</v>
      </c>
      <c r="L338" t="str">
        <f t="shared" si="23"/>
        <v>&gt;$150K</v>
      </c>
      <c r="M338">
        <v>11</v>
      </c>
    </row>
    <row r="339" spans="1:13">
      <c r="A339" t="s">
        <v>269</v>
      </c>
      <c r="B339" t="str">
        <f t="shared" si="20"/>
        <v>Mid-Level</v>
      </c>
      <c r="C339" t="str">
        <f t="shared" si="21"/>
        <v>Data Scientist</v>
      </c>
      <c r="D339">
        <v>4</v>
      </c>
      <c r="E339" t="s">
        <v>270</v>
      </c>
      <c r="F339" t="str">
        <f t="shared" si="22"/>
        <v>Burleson</v>
      </c>
      <c r="G339" t="s">
        <v>19</v>
      </c>
      <c r="H339" t="s">
        <v>15</v>
      </c>
      <c r="I339">
        <v>37</v>
      </c>
      <c r="J339">
        <v>52</v>
      </c>
      <c r="K339">
        <v>44.5</v>
      </c>
      <c r="L339" t="str">
        <f t="shared" si="23"/>
        <v>&lt;$50K</v>
      </c>
      <c r="M339">
        <v>44</v>
      </c>
    </row>
    <row r="340" spans="1:13">
      <c r="A340" t="s">
        <v>362</v>
      </c>
      <c r="B340" t="str">
        <f t="shared" si="20"/>
        <v>Mid-Level</v>
      </c>
      <c r="C340" t="str">
        <f t="shared" si="21"/>
        <v>ML Engineer</v>
      </c>
      <c r="D340">
        <v>3.7</v>
      </c>
      <c r="E340" t="s">
        <v>363</v>
      </c>
      <c r="F340" t="str">
        <f t="shared" si="22"/>
        <v>Lenexa</v>
      </c>
      <c r="G340" t="s">
        <v>9</v>
      </c>
      <c r="H340" t="s">
        <v>364</v>
      </c>
      <c r="I340">
        <v>61</v>
      </c>
      <c r="J340">
        <v>113</v>
      </c>
      <c r="K340">
        <v>87</v>
      </c>
      <c r="L340" t="str">
        <f t="shared" si="23"/>
        <v>$75–100K</v>
      </c>
      <c r="M340">
        <v>48</v>
      </c>
    </row>
    <row r="341" spans="1:13">
      <c r="A341" t="s">
        <v>271</v>
      </c>
      <c r="B341" t="str">
        <f t="shared" si="20"/>
        <v>Mid-Level</v>
      </c>
      <c r="C341" t="str">
        <f t="shared" si="21"/>
        <v>Data Scientist</v>
      </c>
      <c r="D341">
        <v>2.4</v>
      </c>
      <c r="E341" t="s">
        <v>272</v>
      </c>
      <c r="F341" t="str">
        <f t="shared" si="22"/>
        <v>Hoopeston</v>
      </c>
      <c r="G341" t="s">
        <v>9</v>
      </c>
      <c r="H341" t="s">
        <v>273</v>
      </c>
      <c r="I341">
        <v>39</v>
      </c>
      <c r="J341">
        <v>66</v>
      </c>
      <c r="K341">
        <v>52.5</v>
      </c>
      <c r="L341" t="str">
        <f t="shared" si="23"/>
        <v>$50–75K</v>
      </c>
      <c r="M341">
        <v>-1</v>
      </c>
    </row>
    <row r="342" spans="1:13">
      <c r="A342" t="s">
        <v>80</v>
      </c>
      <c r="B342" t="str">
        <f t="shared" si="20"/>
        <v>Mid-Level</v>
      </c>
      <c r="C342" t="str">
        <f t="shared" si="21"/>
        <v>Data Engineer</v>
      </c>
      <c r="D342">
        <v>3.2</v>
      </c>
      <c r="E342" t="s">
        <v>21</v>
      </c>
      <c r="F342" t="str">
        <f t="shared" si="22"/>
        <v>New York</v>
      </c>
      <c r="G342" t="s">
        <v>9</v>
      </c>
      <c r="H342" t="s">
        <v>39</v>
      </c>
      <c r="I342">
        <v>43</v>
      </c>
      <c r="J342">
        <v>86</v>
      </c>
      <c r="K342">
        <v>64.5</v>
      </c>
      <c r="L342" t="str">
        <f t="shared" si="23"/>
        <v>$50–75K</v>
      </c>
      <c r="M342">
        <v>18</v>
      </c>
    </row>
    <row r="343" spans="1:13">
      <c r="A343" t="s">
        <v>365</v>
      </c>
      <c r="B343" t="str">
        <f t="shared" si="20"/>
        <v>Mid-Level</v>
      </c>
      <c r="C343" t="str">
        <f t="shared" si="21"/>
        <v>Data Scientist</v>
      </c>
      <c r="D343">
        <v>2.1</v>
      </c>
      <c r="E343" t="s">
        <v>366</v>
      </c>
      <c r="F343" t="str">
        <f t="shared" si="22"/>
        <v>Concord</v>
      </c>
      <c r="G343" t="s">
        <v>25</v>
      </c>
      <c r="H343" t="s">
        <v>45</v>
      </c>
      <c r="I343">
        <v>74</v>
      </c>
      <c r="J343">
        <v>149</v>
      </c>
      <c r="K343">
        <v>111.5</v>
      </c>
      <c r="L343" t="str">
        <f t="shared" si="23"/>
        <v>$100–125K</v>
      </c>
      <c r="M343">
        <v>-1</v>
      </c>
    </row>
    <row r="344" spans="1:13">
      <c r="A344" t="s">
        <v>367</v>
      </c>
      <c r="B344" t="str">
        <f t="shared" si="20"/>
        <v>Junior</v>
      </c>
      <c r="C344" t="str">
        <f t="shared" si="21"/>
        <v>Data Engineer</v>
      </c>
      <c r="D344">
        <v>3.7</v>
      </c>
      <c r="E344" t="s">
        <v>44</v>
      </c>
      <c r="F344" t="str">
        <f t="shared" si="22"/>
        <v>Cambridge</v>
      </c>
      <c r="G344" t="s">
        <v>14</v>
      </c>
      <c r="H344" t="s">
        <v>45</v>
      </c>
      <c r="I344">
        <v>113</v>
      </c>
      <c r="J344">
        <v>196</v>
      </c>
      <c r="K344">
        <v>154.5</v>
      </c>
      <c r="L344" t="str">
        <f t="shared" si="23"/>
        <v>&gt;$150K</v>
      </c>
      <c r="M344">
        <v>240</v>
      </c>
    </row>
    <row r="345" spans="1:13">
      <c r="A345" t="s">
        <v>274</v>
      </c>
      <c r="B345" t="str">
        <f t="shared" si="20"/>
        <v>Senior</v>
      </c>
      <c r="C345" t="str">
        <f t="shared" si="21"/>
        <v>ML Engineer</v>
      </c>
      <c r="D345">
        <v>2.6</v>
      </c>
      <c r="E345" t="s">
        <v>133</v>
      </c>
      <c r="F345" t="str">
        <f t="shared" si="22"/>
        <v>Pittsburgh</v>
      </c>
      <c r="G345" t="s">
        <v>9</v>
      </c>
      <c r="H345" t="s">
        <v>208</v>
      </c>
      <c r="I345">
        <v>81</v>
      </c>
      <c r="J345">
        <v>167</v>
      </c>
      <c r="K345">
        <v>124</v>
      </c>
      <c r="L345" t="str">
        <f t="shared" si="23"/>
        <v>$100–125K</v>
      </c>
      <c r="M345">
        <v>37</v>
      </c>
    </row>
    <row r="346" spans="1:13">
      <c r="A346" t="s">
        <v>78</v>
      </c>
      <c r="B346" t="str">
        <f t="shared" si="20"/>
        <v>Senior</v>
      </c>
      <c r="C346" t="str">
        <f t="shared" si="21"/>
        <v>Data Scientist</v>
      </c>
      <c r="D346">
        <v>4.4000000000000004</v>
      </c>
      <c r="E346" t="s">
        <v>59</v>
      </c>
      <c r="F346" t="str">
        <f t="shared" si="22"/>
        <v>Chicago</v>
      </c>
      <c r="G346" t="s">
        <v>25</v>
      </c>
      <c r="H346" t="s">
        <v>30</v>
      </c>
      <c r="I346">
        <v>97</v>
      </c>
      <c r="J346">
        <v>160</v>
      </c>
      <c r="K346">
        <v>128.5</v>
      </c>
      <c r="L346" t="str">
        <f t="shared" si="23"/>
        <v>$125–150K</v>
      </c>
      <c r="M346">
        <v>13</v>
      </c>
    </row>
    <row r="347" spans="1:13">
      <c r="A347" t="s">
        <v>368</v>
      </c>
      <c r="B347" t="str">
        <f t="shared" si="20"/>
        <v>Mid-Level</v>
      </c>
      <c r="C347" t="str">
        <f t="shared" si="21"/>
        <v>Data Scientist</v>
      </c>
      <c r="D347">
        <v>3.7</v>
      </c>
      <c r="E347" t="s">
        <v>369</v>
      </c>
      <c r="F347" t="str">
        <f t="shared" si="22"/>
        <v>Vail</v>
      </c>
      <c r="G347" t="s">
        <v>9</v>
      </c>
      <c r="H347" t="s">
        <v>15</v>
      </c>
      <c r="I347">
        <v>49</v>
      </c>
      <c r="J347">
        <v>81</v>
      </c>
      <c r="K347">
        <v>65</v>
      </c>
      <c r="L347" t="str">
        <f t="shared" si="23"/>
        <v>$50–75K</v>
      </c>
      <c r="M347">
        <v>55</v>
      </c>
    </row>
    <row r="348" spans="1:13">
      <c r="A348" t="s">
        <v>275</v>
      </c>
      <c r="B348" t="str">
        <f t="shared" si="20"/>
        <v>Management</v>
      </c>
      <c r="C348" t="str">
        <f t="shared" si="21"/>
        <v>DS Manager</v>
      </c>
      <c r="D348">
        <v>3.5</v>
      </c>
      <c r="E348" t="s">
        <v>276</v>
      </c>
      <c r="F348" t="str">
        <f t="shared" si="22"/>
        <v>Scotts Valley</v>
      </c>
      <c r="G348" t="s">
        <v>9</v>
      </c>
      <c r="H348" t="s">
        <v>15</v>
      </c>
      <c r="I348">
        <v>42</v>
      </c>
      <c r="J348">
        <v>86</v>
      </c>
      <c r="K348">
        <v>64</v>
      </c>
      <c r="L348" t="str">
        <f t="shared" si="23"/>
        <v>$50–75K</v>
      </c>
      <c r="M348">
        <v>25</v>
      </c>
    </row>
    <row r="349" spans="1:13">
      <c r="A349" t="s">
        <v>277</v>
      </c>
      <c r="B349" t="str">
        <f t="shared" si="20"/>
        <v>Senior</v>
      </c>
      <c r="C349" t="str">
        <f t="shared" si="21"/>
        <v>Data Engineer</v>
      </c>
      <c r="D349">
        <v>3</v>
      </c>
      <c r="E349" t="s">
        <v>278</v>
      </c>
      <c r="F349" t="str">
        <f t="shared" si="22"/>
        <v>Knoxville</v>
      </c>
      <c r="G349" t="s">
        <v>14</v>
      </c>
      <c r="H349" t="s">
        <v>279</v>
      </c>
      <c r="I349">
        <v>69</v>
      </c>
      <c r="J349">
        <v>127</v>
      </c>
      <c r="K349">
        <v>98</v>
      </c>
      <c r="L349" t="str">
        <f t="shared" si="23"/>
        <v>$75–100K</v>
      </c>
      <c r="M349">
        <v>63</v>
      </c>
    </row>
    <row r="350" spans="1:13">
      <c r="A350" t="s">
        <v>83</v>
      </c>
      <c r="B350" t="str">
        <f t="shared" si="20"/>
        <v>Mid-Level</v>
      </c>
      <c r="C350" t="str">
        <f t="shared" si="21"/>
        <v>Data Scientist</v>
      </c>
      <c r="D350">
        <v>4.2</v>
      </c>
      <c r="E350" t="s">
        <v>34</v>
      </c>
      <c r="F350" t="str">
        <f t="shared" si="22"/>
        <v>San Francisco</v>
      </c>
      <c r="G350" t="s">
        <v>22</v>
      </c>
      <c r="H350" t="s">
        <v>52</v>
      </c>
      <c r="I350">
        <v>110</v>
      </c>
      <c r="J350">
        <v>175</v>
      </c>
      <c r="K350">
        <v>142.5</v>
      </c>
      <c r="L350" t="str">
        <f t="shared" si="23"/>
        <v>$125–150K</v>
      </c>
      <c r="M350">
        <v>11</v>
      </c>
    </row>
    <row r="351" spans="1:13">
      <c r="A351" t="s">
        <v>370</v>
      </c>
      <c r="B351" t="str">
        <f t="shared" si="20"/>
        <v>Senior</v>
      </c>
      <c r="C351" t="str">
        <f t="shared" si="21"/>
        <v>Data Scientist</v>
      </c>
      <c r="D351">
        <v>3.9</v>
      </c>
      <c r="E351" t="s">
        <v>21</v>
      </c>
      <c r="F351" t="str">
        <f t="shared" si="22"/>
        <v>New York</v>
      </c>
      <c r="G351" t="s">
        <v>14</v>
      </c>
      <c r="H351" t="s">
        <v>45</v>
      </c>
      <c r="I351">
        <v>102</v>
      </c>
      <c r="J351">
        <v>172</v>
      </c>
      <c r="K351">
        <v>137</v>
      </c>
      <c r="L351" t="str">
        <f t="shared" si="23"/>
        <v>$125–150K</v>
      </c>
      <c r="M351">
        <v>108</v>
      </c>
    </row>
    <row r="352" spans="1:13">
      <c r="A352" t="s">
        <v>80</v>
      </c>
      <c r="B352" t="str">
        <f t="shared" si="20"/>
        <v>Mid-Level</v>
      </c>
      <c r="C352" t="str">
        <f t="shared" si="21"/>
        <v>Data Engineer</v>
      </c>
      <c r="D352">
        <v>4</v>
      </c>
      <c r="E352" t="s">
        <v>54</v>
      </c>
      <c r="F352" t="str">
        <f t="shared" si="22"/>
        <v>Denver</v>
      </c>
      <c r="G352" t="s">
        <v>9</v>
      </c>
      <c r="H352" t="s">
        <v>55</v>
      </c>
      <c r="I352">
        <v>74</v>
      </c>
      <c r="J352">
        <v>124</v>
      </c>
      <c r="K352">
        <v>99</v>
      </c>
      <c r="L352" t="str">
        <f t="shared" si="23"/>
        <v>$75–100K</v>
      </c>
      <c r="M352">
        <v>106</v>
      </c>
    </row>
    <row r="353" spans="1:13">
      <c r="A353" t="s">
        <v>282</v>
      </c>
      <c r="B353" t="str">
        <f t="shared" si="20"/>
        <v>Mid-Level</v>
      </c>
      <c r="C353" t="str">
        <f t="shared" si="21"/>
        <v>Data Scientist</v>
      </c>
      <c r="D353">
        <v>3.3</v>
      </c>
      <c r="E353" t="s">
        <v>158</v>
      </c>
      <c r="F353" t="str">
        <f t="shared" si="22"/>
        <v>Milwaukee</v>
      </c>
      <c r="G353" t="s">
        <v>9</v>
      </c>
      <c r="H353" t="s">
        <v>273</v>
      </c>
      <c r="I353">
        <v>40</v>
      </c>
      <c r="J353">
        <v>68</v>
      </c>
      <c r="K353">
        <v>54</v>
      </c>
      <c r="L353" t="str">
        <f t="shared" si="23"/>
        <v>$50–75K</v>
      </c>
      <c r="M353">
        <v>57</v>
      </c>
    </row>
    <row r="354" spans="1:13">
      <c r="A354" t="s">
        <v>78</v>
      </c>
      <c r="B354" t="str">
        <f t="shared" si="20"/>
        <v>Senior</v>
      </c>
      <c r="C354" t="str">
        <f t="shared" si="21"/>
        <v>Data Scientist</v>
      </c>
      <c r="D354">
        <v>4.4000000000000004</v>
      </c>
      <c r="E354" t="s">
        <v>371</v>
      </c>
      <c r="F354" t="str">
        <f t="shared" si="22"/>
        <v>Natick</v>
      </c>
      <c r="G354" t="s">
        <v>19</v>
      </c>
      <c r="H354" t="s">
        <v>76</v>
      </c>
      <c r="I354">
        <v>108</v>
      </c>
      <c r="J354">
        <v>171</v>
      </c>
      <c r="K354">
        <v>139.5</v>
      </c>
      <c r="L354" t="str">
        <f t="shared" si="23"/>
        <v>$125–150K</v>
      </c>
      <c r="M354">
        <v>37</v>
      </c>
    </row>
    <row r="355" spans="1:13">
      <c r="A355" t="s">
        <v>80</v>
      </c>
      <c r="B355" t="str">
        <f t="shared" si="20"/>
        <v>Mid-Level</v>
      </c>
      <c r="C355" t="str">
        <f t="shared" si="21"/>
        <v>Data Engineer</v>
      </c>
      <c r="D355">
        <v>3.4</v>
      </c>
      <c r="E355" t="s">
        <v>176</v>
      </c>
      <c r="F355" t="str">
        <f t="shared" si="22"/>
        <v>Rockville</v>
      </c>
      <c r="G355" t="s">
        <v>25</v>
      </c>
      <c r="H355" t="s">
        <v>74</v>
      </c>
      <c r="I355">
        <v>76</v>
      </c>
      <c r="J355">
        <v>142</v>
      </c>
      <c r="K355">
        <v>109</v>
      </c>
      <c r="L355" t="str">
        <f t="shared" si="23"/>
        <v>$100–125K</v>
      </c>
      <c r="M355">
        <v>22</v>
      </c>
    </row>
    <row r="356" spans="1:13">
      <c r="A356" t="s">
        <v>372</v>
      </c>
      <c r="B356" t="str">
        <f t="shared" si="20"/>
        <v>Management</v>
      </c>
      <c r="C356" t="str">
        <f t="shared" si="21"/>
        <v>Director/VP</v>
      </c>
      <c r="D356">
        <v>3.3</v>
      </c>
      <c r="E356" t="s">
        <v>59</v>
      </c>
      <c r="F356" t="str">
        <f t="shared" si="22"/>
        <v>Chicago</v>
      </c>
      <c r="G356" t="s">
        <v>14</v>
      </c>
      <c r="H356" t="s">
        <v>55</v>
      </c>
      <c r="I356">
        <v>202</v>
      </c>
      <c r="J356">
        <v>306</v>
      </c>
      <c r="K356">
        <v>254</v>
      </c>
      <c r="L356" t="str">
        <f t="shared" si="23"/>
        <v>&gt;$150K</v>
      </c>
      <c r="M356">
        <v>109</v>
      </c>
    </row>
    <row r="357" spans="1:13">
      <c r="A357" t="s">
        <v>373</v>
      </c>
      <c r="B357" t="str">
        <f t="shared" si="20"/>
        <v>Mid-Level</v>
      </c>
      <c r="C357" t="str">
        <f t="shared" si="21"/>
        <v>Data Scientist</v>
      </c>
      <c r="D357">
        <v>2.9</v>
      </c>
      <c r="E357" t="s">
        <v>219</v>
      </c>
      <c r="F357" t="str">
        <f t="shared" si="22"/>
        <v>South San Francisco</v>
      </c>
      <c r="G357" t="s">
        <v>25</v>
      </c>
      <c r="H357" t="s">
        <v>45</v>
      </c>
      <c r="I357">
        <v>49</v>
      </c>
      <c r="J357">
        <v>97</v>
      </c>
      <c r="K357">
        <v>73</v>
      </c>
      <c r="L357" t="str">
        <f t="shared" si="23"/>
        <v>$50–75K</v>
      </c>
      <c r="M357">
        <v>9</v>
      </c>
    </row>
    <row r="358" spans="1:13">
      <c r="A358" t="s">
        <v>283</v>
      </c>
      <c r="B358" t="str">
        <f t="shared" si="20"/>
        <v>Mid-Level</v>
      </c>
      <c r="C358" t="str">
        <f t="shared" si="21"/>
        <v>Data Scientist</v>
      </c>
      <c r="D358">
        <v>2.7</v>
      </c>
      <c r="E358" t="s">
        <v>176</v>
      </c>
      <c r="F358" t="str">
        <f t="shared" si="22"/>
        <v>Rockville</v>
      </c>
      <c r="G358" t="s">
        <v>25</v>
      </c>
      <c r="H358" t="s">
        <v>45</v>
      </c>
      <c r="I358">
        <v>49</v>
      </c>
      <c r="J358">
        <v>113</v>
      </c>
      <c r="K358">
        <v>81</v>
      </c>
      <c r="L358" t="str">
        <f t="shared" si="23"/>
        <v>$75–100K</v>
      </c>
      <c r="M358">
        <v>60</v>
      </c>
    </row>
    <row r="359" spans="1:13">
      <c r="A359" t="s">
        <v>280</v>
      </c>
      <c r="B359" t="str">
        <f t="shared" si="20"/>
        <v>Mid-Level</v>
      </c>
      <c r="C359" t="str">
        <f t="shared" si="21"/>
        <v>Data Scientist</v>
      </c>
      <c r="D359">
        <v>3.6</v>
      </c>
      <c r="E359" t="s">
        <v>281</v>
      </c>
      <c r="F359" t="str">
        <f t="shared" si="22"/>
        <v>Millville</v>
      </c>
      <c r="G359" t="s">
        <v>19</v>
      </c>
      <c r="H359" t="s">
        <v>15</v>
      </c>
      <c r="I359">
        <v>43</v>
      </c>
      <c r="J359">
        <v>70</v>
      </c>
      <c r="K359">
        <v>56.5</v>
      </c>
      <c r="L359" t="str">
        <f t="shared" si="23"/>
        <v>$50–75K</v>
      </c>
      <c r="M359">
        <v>86</v>
      </c>
    </row>
    <row r="360" spans="1:13">
      <c r="A360" t="s">
        <v>374</v>
      </c>
      <c r="B360" t="str">
        <f t="shared" si="20"/>
        <v>Mid-Level</v>
      </c>
      <c r="C360" t="str">
        <f t="shared" si="21"/>
        <v>Data Scientist</v>
      </c>
      <c r="D360">
        <v>3.1</v>
      </c>
      <c r="E360" t="s">
        <v>356</v>
      </c>
      <c r="F360" t="str">
        <f t="shared" si="22"/>
        <v>Winston-Salem</v>
      </c>
      <c r="G360" t="s">
        <v>38</v>
      </c>
      <c r="H360" t="s">
        <v>86</v>
      </c>
      <c r="I360">
        <v>65</v>
      </c>
      <c r="J360">
        <v>134</v>
      </c>
      <c r="K360">
        <v>99.5</v>
      </c>
      <c r="L360" t="str">
        <f t="shared" si="23"/>
        <v>$75–100K</v>
      </c>
      <c r="M360">
        <v>146</v>
      </c>
    </row>
    <row r="361" spans="1:13">
      <c r="A361" t="s">
        <v>375</v>
      </c>
      <c r="B361" t="str">
        <f t="shared" si="20"/>
        <v>Junior</v>
      </c>
      <c r="C361" t="str">
        <f t="shared" si="21"/>
        <v>Data Analyst</v>
      </c>
      <c r="D361">
        <v>3.3</v>
      </c>
      <c r="E361" t="s">
        <v>376</v>
      </c>
      <c r="F361" t="str">
        <f t="shared" si="22"/>
        <v>Richfield</v>
      </c>
      <c r="G361" t="s">
        <v>9</v>
      </c>
      <c r="H361" t="s">
        <v>55</v>
      </c>
      <c r="I361">
        <v>32</v>
      </c>
      <c r="J361">
        <v>59</v>
      </c>
      <c r="K361">
        <v>45.5</v>
      </c>
      <c r="L361" t="str">
        <f t="shared" si="23"/>
        <v>&lt;$50K</v>
      </c>
      <c r="M361">
        <v>32</v>
      </c>
    </row>
    <row r="362" spans="1:13">
      <c r="A362" t="s">
        <v>284</v>
      </c>
      <c r="B362" t="str">
        <f t="shared" si="20"/>
        <v>Senior</v>
      </c>
      <c r="C362" t="str">
        <f t="shared" si="21"/>
        <v>Data Engineer</v>
      </c>
      <c r="D362">
        <v>4.5</v>
      </c>
      <c r="E362" t="s">
        <v>125</v>
      </c>
      <c r="F362" t="str">
        <f t="shared" si="22"/>
        <v>Indianapolis</v>
      </c>
      <c r="G362" t="s">
        <v>22</v>
      </c>
      <c r="H362" t="s">
        <v>30</v>
      </c>
      <c r="I362">
        <v>87</v>
      </c>
      <c r="J362">
        <v>158</v>
      </c>
      <c r="K362">
        <v>122.5</v>
      </c>
      <c r="L362" t="str">
        <f t="shared" si="23"/>
        <v>$100–125K</v>
      </c>
      <c r="M362">
        <v>25</v>
      </c>
    </row>
    <row r="363" spans="1:13">
      <c r="A363" t="s">
        <v>377</v>
      </c>
      <c r="B363" t="str">
        <f t="shared" si="20"/>
        <v>Senior</v>
      </c>
      <c r="C363" t="str">
        <f t="shared" si="21"/>
        <v>Data Scientist</v>
      </c>
      <c r="D363">
        <v>3.9</v>
      </c>
      <c r="E363" t="s">
        <v>59</v>
      </c>
      <c r="F363" t="str">
        <f t="shared" si="22"/>
        <v>Chicago</v>
      </c>
      <c r="G363" t="s">
        <v>38</v>
      </c>
      <c r="H363" t="s">
        <v>148</v>
      </c>
      <c r="I363">
        <v>107</v>
      </c>
      <c r="J363">
        <v>173</v>
      </c>
      <c r="K363">
        <v>140</v>
      </c>
      <c r="L363" t="str">
        <f t="shared" si="23"/>
        <v>$125–150K</v>
      </c>
      <c r="M363">
        <v>53</v>
      </c>
    </row>
    <row r="364" spans="1:13">
      <c r="A364" t="s">
        <v>378</v>
      </c>
      <c r="B364" t="str">
        <f t="shared" si="20"/>
        <v>Senior</v>
      </c>
      <c r="C364" t="str">
        <f t="shared" si="21"/>
        <v>Data Scientist</v>
      </c>
      <c r="D364">
        <v>3.2</v>
      </c>
      <c r="E364" t="s">
        <v>379</v>
      </c>
      <c r="F364" t="str">
        <f t="shared" si="22"/>
        <v>Hampton</v>
      </c>
      <c r="G364" t="s">
        <v>38</v>
      </c>
      <c r="H364" t="s">
        <v>156</v>
      </c>
      <c r="I364">
        <v>56</v>
      </c>
      <c r="J364">
        <v>99</v>
      </c>
      <c r="K364">
        <v>77.5</v>
      </c>
      <c r="L364" t="str">
        <f t="shared" si="23"/>
        <v>$75–100K</v>
      </c>
      <c r="M364">
        <v>63</v>
      </c>
    </row>
    <row r="365" spans="1:13">
      <c r="A365" t="s">
        <v>380</v>
      </c>
      <c r="B365" t="str">
        <f t="shared" si="20"/>
        <v>Mid-Level</v>
      </c>
      <c r="C365" t="str">
        <f t="shared" si="21"/>
        <v>Data Scientist</v>
      </c>
      <c r="D365">
        <v>3.3</v>
      </c>
      <c r="E365" t="s">
        <v>44</v>
      </c>
      <c r="F365" t="str">
        <f t="shared" si="22"/>
        <v>Cambridge</v>
      </c>
      <c r="G365" s="1">
        <v>18264</v>
      </c>
      <c r="H365" t="s">
        <v>381</v>
      </c>
      <c r="I365">
        <v>52</v>
      </c>
      <c r="J365">
        <v>58</v>
      </c>
      <c r="K365">
        <v>55</v>
      </c>
      <c r="L365" t="str">
        <f t="shared" si="23"/>
        <v>$50–75K</v>
      </c>
      <c r="M365">
        <v>45</v>
      </c>
    </row>
    <row r="366" spans="1:13">
      <c r="A366" t="s">
        <v>382</v>
      </c>
      <c r="B366" t="str">
        <f t="shared" si="20"/>
        <v>Senior</v>
      </c>
      <c r="C366" t="str">
        <f t="shared" si="21"/>
        <v>Data Scientist</v>
      </c>
      <c r="D366">
        <v>3.1</v>
      </c>
      <c r="E366" t="s">
        <v>356</v>
      </c>
      <c r="F366" t="str">
        <f t="shared" si="22"/>
        <v>Winston-Salem</v>
      </c>
      <c r="G366" t="s">
        <v>38</v>
      </c>
      <c r="H366" t="s">
        <v>86</v>
      </c>
      <c r="I366">
        <v>80</v>
      </c>
      <c r="J366">
        <v>155</v>
      </c>
      <c r="K366">
        <v>117.5</v>
      </c>
      <c r="L366" t="str">
        <f t="shared" si="23"/>
        <v>$100–125K</v>
      </c>
      <c r="M366">
        <v>146</v>
      </c>
    </row>
    <row r="367" spans="1:13">
      <c r="A367" t="s">
        <v>383</v>
      </c>
      <c r="B367" t="str">
        <f t="shared" si="20"/>
        <v>Mid-Level</v>
      </c>
      <c r="C367" t="str">
        <f t="shared" si="21"/>
        <v>Data Scientist</v>
      </c>
      <c r="D367">
        <v>2.4</v>
      </c>
      <c r="E367" t="s">
        <v>106</v>
      </c>
      <c r="F367" t="str">
        <f t="shared" si="22"/>
        <v>San Diego</v>
      </c>
      <c r="G367" t="s">
        <v>9</v>
      </c>
      <c r="H367" t="s">
        <v>45</v>
      </c>
      <c r="I367">
        <v>43</v>
      </c>
      <c r="J367">
        <v>98</v>
      </c>
      <c r="K367">
        <v>70.5</v>
      </c>
      <c r="L367" t="str">
        <f t="shared" si="23"/>
        <v>$50–75K</v>
      </c>
      <c r="M367">
        <v>15</v>
      </c>
    </row>
    <row r="368" spans="1:13">
      <c r="A368" t="s">
        <v>384</v>
      </c>
      <c r="B368" t="str">
        <f t="shared" si="20"/>
        <v>Management</v>
      </c>
      <c r="C368" t="str">
        <f t="shared" si="21"/>
        <v>DS Manager</v>
      </c>
      <c r="D368">
        <v>4.8</v>
      </c>
      <c r="E368" t="s">
        <v>34</v>
      </c>
      <c r="F368" t="str">
        <f t="shared" si="22"/>
        <v>San Francisco</v>
      </c>
      <c r="G368" t="s">
        <v>22</v>
      </c>
      <c r="H368" t="s">
        <v>76</v>
      </c>
      <c r="I368">
        <v>45</v>
      </c>
      <c r="J368">
        <v>78</v>
      </c>
      <c r="K368">
        <v>61.5</v>
      </c>
      <c r="L368" t="str">
        <f t="shared" si="23"/>
        <v>$50–75K</v>
      </c>
      <c r="M368">
        <v>10</v>
      </c>
    </row>
    <row r="369" spans="1:13">
      <c r="A369" t="s">
        <v>385</v>
      </c>
      <c r="B369" t="str">
        <f t="shared" si="20"/>
        <v>Junior</v>
      </c>
      <c r="C369" t="str">
        <f t="shared" si="21"/>
        <v>Data Scientist</v>
      </c>
      <c r="D369">
        <v>2.9</v>
      </c>
      <c r="E369" t="s">
        <v>386</v>
      </c>
      <c r="F369" t="str">
        <f t="shared" si="22"/>
        <v>Ithaca</v>
      </c>
      <c r="G369" t="s">
        <v>19</v>
      </c>
      <c r="H369" t="s">
        <v>45</v>
      </c>
      <c r="I369">
        <v>44</v>
      </c>
      <c r="J369">
        <v>96</v>
      </c>
      <c r="K369">
        <v>70</v>
      </c>
      <c r="L369" t="str">
        <f t="shared" si="23"/>
        <v>$50–75K</v>
      </c>
      <c r="M369">
        <v>6</v>
      </c>
    </row>
    <row r="370" spans="1:13">
      <c r="A370" t="s">
        <v>387</v>
      </c>
      <c r="B370" t="str">
        <f t="shared" si="20"/>
        <v>Senior</v>
      </c>
      <c r="C370" t="str">
        <f t="shared" si="21"/>
        <v>Data Scientist</v>
      </c>
      <c r="D370">
        <v>2.9</v>
      </c>
      <c r="E370" t="s">
        <v>388</v>
      </c>
      <c r="F370" t="str">
        <f t="shared" si="22"/>
        <v>Marietta</v>
      </c>
      <c r="G370" t="s">
        <v>19</v>
      </c>
      <c r="H370" t="s">
        <v>45</v>
      </c>
      <c r="I370">
        <v>50</v>
      </c>
      <c r="J370">
        <v>110</v>
      </c>
      <c r="K370">
        <v>80</v>
      </c>
      <c r="L370" t="str">
        <f t="shared" si="23"/>
        <v>$75–100K</v>
      </c>
      <c r="M370">
        <v>6</v>
      </c>
    </row>
    <row r="371" spans="1:13">
      <c r="A371" t="s">
        <v>389</v>
      </c>
      <c r="B371" t="str">
        <f t="shared" si="20"/>
        <v>Mid-Level</v>
      </c>
      <c r="C371" t="str">
        <f t="shared" si="21"/>
        <v>Data Engineer</v>
      </c>
      <c r="D371">
        <v>3.4</v>
      </c>
      <c r="E371" t="s">
        <v>390</v>
      </c>
      <c r="F371" t="str">
        <f t="shared" si="22"/>
        <v>Quincy</v>
      </c>
      <c r="G371" t="s">
        <v>19</v>
      </c>
      <c r="H371" t="s">
        <v>55</v>
      </c>
      <c r="I371">
        <v>61</v>
      </c>
      <c r="J371">
        <v>119</v>
      </c>
      <c r="K371">
        <v>90</v>
      </c>
      <c r="L371" t="str">
        <f t="shared" si="23"/>
        <v>$75–100K</v>
      </c>
      <c r="M371">
        <v>33</v>
      </c>
    </row>
    <row r="372" spans="1:13">
      <c r="A372" t="s">
        <v>391</v>
      </c>
      <c r="B372" t="str">
        <f t="shared" si="20"/>
        <v>Mid-Level</v>
      </c>
      <c r="C372" t="str">
        <f t="shared" si="21"/>
        <v>Research Scientist</v>
      </c>
      <c r="D372">
        <v>-1</v>
      </c>
      <c r="E372" t="s">
        <v>44</v>
      </c>
      <c r="F372" t="str">
        <f t="shared" si="22"/>
        <v>Cambridge</v>
      </c>
      <c r="G372" t="s">
        <v>89</v>
      </c>
      <c r="H372">
        <v>-1</v>
      </c>
      <c r="I372">
        <v>100</v>
      </c>
      <c r="J372">
        <v>140</v>
      </c>
      <c r="K372">
        <v>120</v>
      </c>
      <c r="L372" t="str">
        <f t="shared" si="23"/>
        <v>$100–125K</v>
      </c>
      <c r="M372">
        <v>-1</v>
      </c>
    </row>
    <row r="373" spans="1:13">
      <c r="A373" t="s">
        <v>392</v>
      </c>
      <c r="B373" t="str">
        <f t="shared" si="20"/>
        <v>Mid-Level</v>
      </c>
      <c r="C373" t="str">
        <f t="shared" si="21"/>
        <v>Data Scientist</v>
      </c>
      <c r="D373">
        <v>2.6</v>
      </c>
      <c r="E373" t="s">
        <v>133</v>
      </c>
      <c r="F373" t="str">
        <f t="shared" si="22"/>
        <v>Pittsburgh</v>
      </c>
      <c r="G373" t="s">
        <v>9</v>
      </c>
      <c r="H373" t="s">
        <v>208</v>
      </c>
      <c r="I373">
        <v>56</v>
      </c>
      <c r="J373">
        <v>91</v>
      </c>
      <c r="K373">
        <v>73.5</v>
      </c>
      <c r="L373" t="str">
        <f t="shared" si="23"/>
        <v>$50–75K</v>
      </c>
      <c r="M373">
        <v>37</v>
      </c>
    </row>
    <row r="374" spans="1:13">
      <c r="A374" t="s">
        <v>7</v>
      </c>
      <c r="B374" t="str">
        <f t="shared" si="20"/>
        <v>Mid-Level</v>
      </c>
      <c r="C374" t="str">
        <f t="shared" si="21"/>
        <v>Data Scientist</v>
      </c>
      <c r="D374">
        <v>3.8</v>
      </c>
      <c r="E374" t="s">
        <v>100</v>
      </c>
      <c r="F374" t="str">
        <f t="shared" si="22"/>
        <v>Fort Lauderdale</v>
      </c>
      <c r="G374" t="s">
        <v>9</v>
      </c>
      <c r="H374" t="s">
        <v>23</v>
      </c>
      <c r="I374">
        <v>68</v>
      </c>
      <c r="J374">
        <v>114</v>
      </c>
      <c r="K374">
        <v>91</v>
      </c>
      <c r="L374" t="str">
        <f t="shared" si="23"/>
        <v>$75–100K</v>
      </c>
      <c r="M374">
        <v>37</v>
      </c>
    </row>
    <row r="375" spans="1:13">
      <c r="A375" t="s">
        <v>7</v>
      </c>
      <c r="B375" t="str">
        <f t="shared" si="20"/>
        <v>Mid-Level</v>
      </c>
      <c r="C375" t="str">
        <f t="shared" si="21"/>
        <v>Data Scientist</v>
      </c>
      <c r="D375">
        <v>5</v>
      </c>
      <c r="E375" t="s">
        <v>87</v>
      </c>
      <c r="F375" t="str">
        <f t="shared" si="22"/>
        <v>Washington</v>
      </c>
      <c r="G375" t="s">
        <v>89</v>
      </c>
      <c r="H375" t="s">
        <v>52</v>
      </c>
      <c r="I375">
        <v>150</v>
      </c>
      <c r="J375">
        <v>160</v>
      </c>
      <c r="K375">
        <v>155</v>
      </c>
      <c r="L375" t="str">
        <f t="shared" si="23"/>
        <v>&gt;$150K</v>
      </c>
      <c r="M375">
        <v>-1</v>
      </c>
    </row>
    <row r="376" spans="1:13">
      <c r="A376" t="s">
        <v>393</v>
      </c>
      <c r="B376" t="str">
        <f t="shared" si="20"/>
        <v>Mid-Level</v>
      </c>
      <c r="C376" t="str">
        <f t="shared" si="21"/>
        <v>Data Scientist</v>
      </c>
      <c r="D376">
        <v>3.6</v>
      </c>
      <c r="E376" t="s">
        <v>102</v>
      </c>
      <c r="F376" t="str">
        <f t="shared" si="22"/>
        <v>Boston</v>
      </c>
      <c r="G376" t="s">
        <v>38</v>
      </c>
      <c r="H376" t="s">
        <v>55</v>
      </c>
      <c r="I376">
        <v>101</v>
      </c>
      <c r="J376">
        <v>158</v>
      </c>
      <c r="K376">
        <v>129.5</v>
      </c>
      <c r="L376" t="str">
        <f t="shared" si="23"/>
        <v>$125–150K</v>
      </c>
      <c r="M376">
        <v>170</v>
      </c>
    </row>
    <row r="377" spans="1:13">
      <c r="A377" t="s">
        <v>394</v>
      </c>
      <c r="B377" t="str">
        <f t="shared" si="20"/>
        <v>Senior</v>
      </c>
      <c r="C377" t="str">
        <f t="shared" si="21"/>
        <v>DS Manager</v>
      </c>
      <c r="D377">
        <v>4</v>
      </c>
      <c r="E377" t="s">
        <v>21</v>
      </c>
      <c r="F377" t="str">
        <f t="shared" si="22"/>
        <v>New York</v>
      </c>
      <c r="G377" t="s">
        <v>14</v>
      </c>
      <c r="H377" t="s">
        <v>45</v>
      </c>
      <c r="I377">
        <v>125</v>
      </c>
      <c r="J377">
        <v>210</v>
      </c>
      <c r="K377">
        <v>167.5</v>
      </c>
      <c r="L377" t="str">
        <f t="shared" si="23"/>
        <v>&gt;$150K</v>
      </c>
      <c r="M377">
        <v>172</v>
      </c>
    </row>
    <row r="378" spans="1:13">
      <c r="A378" t="s">
        <v>395</v>
      </c>
      <c r="B378" t="str">
        <f t="shared" si="20"/>
        <v>Mid-Level</v>
      </c>
      <c r="C378" t="str">
        <f t="shared" si="21"/>
        <v>Data Analyst</v>
      </c>
      <c r="D378">
        <v>3.8</v>
      </c>
      <c r="E378" t="s">
        <v>396</v>
      </c>
      <c r="F378" t="str">
        <f t="shared" si="22"/>
        <v>Green Bay</v>
      </c>
      <c r="G378" t="s">
        <v>19</v>
      </c>
      <c r="H378" t="s">
        <v>27</v>
      </c>
      <c r="I378">
        <v>43</v>
      </c>
      <c r="J378">
        <v>77</v>
      </c>
      <c r="K378">
        <v>60</v>
      </c>
      <c r="L378" t="str">
        <f t="shared" si="23"/>
        <v>$50–75K</v>
      </c>
      <c r="M378">
        <v>151</v>
      </c>
    </row>
    <row r="379" spans="1:13">
      <c r="A379" t="s">
        <v>90</v>
      </c>
      <c r="B379" t="str">
        <f t="shared" si="20"/>
        <v>Senior</v>
      </c>
      <c r="C379" t="str">
        <f t="shared" si="21"/>
        <v>Data Scientist</v>
      </c>
      <c r="D379">
        <v>3.9</v>
      </c>
      <c r="E379" t="s">
        <v>251</v>
      </c>
      <c r="F379" t="str">
        <f t="shared" si="22"/>
        <v>Burbank</v>
      </c>
      <c r="G379" t="s">
        <v>22</v>
      </c>
      <c r="H379" t="s">
        <v>148</v>
      </c>
      <c r="I379">
        <v>139</v>
      </c>
      <c r="J379">
        <v>221</v>
      </c>
      <c r="K379">
        <v>180</v>
      </c>
      <c r="L379" t="str">
        <f t="shared" si="23"/>
        <v>&gt;$150K</v>
      </c>
      <c r="M379">
        <v>12</v>
      </c>
    </row>
    <row r="380" spans="1:13">
      <c r="A380" t="s">
        <v>397</v>
      </c>
      <c r="B380" t="str">
        <f t="shared" si="20"/>
        <v>Mid-Level</v>
      </c>
      <c r="C380" t="str">
        <f t="shared" si="21"/>
        <v>Data Analyst</v>
      </c>
      <c r="D380">
        <v>3.8</v>
      </c>
      <c r="E380" t="s">
        <v>21</v>
      </c>
      <c r="F380" t="str">
        <f t="shared" si="22"/>
        <v>New York</v>
      </c>
      <c r="G380" t="s">
        <v>19</v>
      </c>
      <c r="H380" t="s">
        <v>201</v>
      </c>
      <c r="I380">
        <v>44</v>
      </c>
      <c r="J380">
        <v>86</v>
      </c>
      <c r="K380">
        <v>65</v>
      </c>
      <c r="L380" t="str">
        <f t="shared" si="23"/>
        <v>$50–75K</v>
      </c>
      <c r="M380">
        <v>19</v>
      </c>
    </row>
    <row r="381" spans="1:13">
      <c r="A381" t="s">
        <v>180</v>
      </c>
      <c r="B381" t="str">
        <f t="shared" si="20"/>
        <v>Senior</v>
      </c>
      <c r="C381" t="str">
        <f t="shared" si="21"/>
        <v>Data Engineer</v>
      </c>
      <c r="D381">
        <v>4.3</v>
      </c>
      <c r="E381" t="s">
        <v>398</v>
      </c>
      <c r="F381" t="str">
        <f t="shared" si="22"/>
        <v>Durham</v>
      </c>
      <c r="G381" t="s">
        <v>38</v>
      </c>
      <c r="H381" t="s">
        <v>76</v>
      </c>
      <c r="I381">
        <v>78</v>
      </c>
      <c r="J381">
        <v>147</v>
      </c>
      <c r="K381">
        <v>112.5</v>
      </c>
      <c r="L381" t="str">
        <f t="shared" si="23"/>
        <v>$100–125K</v>
      </c>
      <c r="M381">
        <v>31</v>
      </c>
    </row>
    <row r="382" spans="1:13">
      <c r="A382" t="s">
        <v>169</v>
      </c>
      <c r="B382" t="str">
        <f t="shared" si="20"/>
        <v>Senior</v>
      </c>
      <c r="C382" t="str">
        <f t="shared" si="21"/>
        <v>Data Analyst</v>
      </c>
      <c r="D382">
        <v>1.9</v>
      </c>
      <c r="E382" t="s">
        <v>21</v>
      </c>
      <c r="F382" t="str">
        <f t="shared" si="22"/>
        <v>New York</v>
      </c>
      <c r="G382" t="s">
        <v>25</v>
      </c>
      <c r="H382" t="s">
        <v>42</v>
      </c>
      <c r="I382">
        <v>65</v>
      </c>
      <c r="J382">
        <v>110</v>
      </c>
      <c r="K382">
        <v>87.5</v>
      </c>
      <c r="L382" t="str">
        <f t="shared" si="23"/>
        <v>$75–100K</v>
      </c>
      <c r="M382">
        <v>11</v>
      </c>
    </row>
    <row r="383" spans="1:13">
      <c r="A383" t="s">
        <v>399</v>
      </c>
      <c r="B383" t="str">
        <f t="shared" si="20"/>
        <v>Mid-Level</v>
      </c>
      <c r="C383" t="str">
        <f t="shared" si="21"/>
        <v>Data Scientist</v>
      </c>
      <c r="D383">
        <v>3.3</v>
      </c>
      <c r="E383" t="s">
        <v>125</v>
      </c>
      <c r="F383" t="str">
        <f t="shared" si="22"/>
        <v>Indianapolis</v>
      </c>
      <c r="G383" t="s">
        <v>14</v>
      </c>
      <c r="H383" t="s">
        <v>55</v>
      </c>
      <c r="I383">
        <v>37</v>
      </c>
      <c r="J383">
        <v>66</v>
      </c>
      <c r="K383">
        <v>51.5</v>
      </c>
      <c r="L383" t="str">
        <f t="shared" si="23"/>
        <v>$50–75K</v>
      </c>
      <c r="M383">
        <v>109</v>
      </c>
    </row>
    <row r="384" spans="1:13">
      <c r="A384" t="s">
        <v>400</v>
      </c>
      <c r="B384" t="str">
        <f t="shared" si="20"/>
        <v>Junior</v>
      </c>
      <c r="C384" t="str">
        <f t="shared" si="21"/>
        <v>Data Scientist</v>
      </c>
      <c r="D384">
        <v>4.7</v>
      </c>
      <c r="E384" t="s">
        <v>401</v>
      </c>
      <c r="F384" t="str">
        <f t="shared" si="22"/>
        <v>Clovis</v>
      </c>
      <c r="G384" t="s">
        <v>22</v>
      </c>
      <c r="H384" t="s">
        <v>184</v>
      </c>
      <c r="I384">
        <v>38</v>
      </c>
      <c r="J384">
        <v>64</v>
      </c>
      <c r="K384">
        <v>51</v>
      </c>
      <c r="L384" t="str">
        <f t="shared" si="23"/>
        <v>$50–75K</v>
      </c>
      <c r="M384">
        <v>49</v>
      </c>
    </row>
    <row r="385" spans="1:13">
      <c r="A385" t="s">
        <v>402</v>
      </c>
      <c r="B385" t="str">
        <f t="shared" si="20"/>
        <v>Junior</v>
      </c>
      <c r="C385" t="str">
        <f t="shared" si="21"/>
        <v>Data Scientist</v>
      </c>
      <c r="D385">
        <v>3.1</v>
      </c>
      <c r="E385" t="s">
        <v>102</v>
      </c>
      <c r="F385" t="str">
        <f t="shared" si="22"/>
        <v>Boston</v>
      </c>
      <c r="G385" t="s">
        <v>14</v>
      </c>
      <c r="H385" t="s">
        <v>27</v>
      </c>
      <c r="I385">
        <v>43</v>
      </c>
      <c r="J385">
        <v>82</v>
      </c>
      <c r="K385">
        <v>62.5</v>
      </c>
      <c r="L385" t="str">
        <f t="shared" si="23"/>
        <v>$50–75K</v>
      </c>
      <c r="M385">
        <v>165</v>
      </c>
    </row>
    <row r="386" spans="1:13">
      <c r="A386" t="s">
        <v>403</v>
      </c>
      <c r="B386" t="str">
        <f t="shared" si="20"/>
        <v>Senior</v>
      </c>
      <c r="C386" t="str">
        <f t="shared" si="21"/>
        <v>Data Engineer</v>
      </c>
      <c r="D386">
        <v>3.4</v>
      </c>
      <c r="E386" t="s">
        <v>404</v>
      </c>
      <c r="F386" t="str">
        <f t="shared" si="22"/>
        <v>Chandler</v>
      </c>
      <c r="G386" t="s">
        <v>9</v>
      </c>
      <c r="H386" t="s">
        <v>15</v>
      </c>
      <c r="I386">
        <v>90</v>
      </c>
      <c r="J386">
        <v>110</v>
      </c>
      <c r="K386">
        <v>100</v>
      </c>
      <c r="L386" t="str">
        <f t="shared" si="23"/>
        <v>$100–125K</v>
      </c>
      <c r="M386">
        <v>40</v>
      </c>
    </row>
    <row r="387" spans="1:13">
      <c r="A387" t="s">
        <v>80</v>
      </c>
      <c r="B387" t="str">
        <f t="shared" ref="B387:B450" si="24">IF(OR(ISNUMBER(SEARCH("Senior",A387)),ISNUMBER(SEARCH("Sr",A387)),ISNUMBER(SEARCH("Lead",A387)),ISNUMBER(SEARCH("Principal",A387))),"Senior",IF(OR(ISNUMBER(SEARCH("Junior",A387)),ISNUMBER(SEARCH("Jr",A387)),ISNUMBER(SEARCH("Entry",A387)),ISNUMBER(SEARCH("Associate",A387))),"Junior",IF(OR(ISNUMBER(SEARCH("Manager",A387)),ISNUMBER(SEARCH("Director",A387)),ISNUMBER(SEARCH("Head",A387)),ISNUMBER(SEARCH("VP",A387))),"Management","Mid-Level")))</f>
        <v>Mid-Level</v>
      </c>
      <c r="C387" t="str">
        <f t="shared" ref="C387:C450" si="25">IF(ISNUMBER(SEARCH("Machine Learn",A387)),"ML Engineer",IF(ISNUMBER(SEARCH("Data Engineer",A387)),"Data Engineer",IF(ISNUMBER(SEARCH("Data Analyst",A387)),"Data Analyst",IF(ISNUMBER(SEARCH("Business Analyst",A387)),"Business Analyst",IF(ISNUMBER(SEARCH("Research",A387)),"Research Scientist",IF(ISNUMBER(SEARCH("Manager",A387)),"DS Manager",IF(ISNUMBER(SEARCH("Director",A387)),"Director/VP","Data Scientist")))))))</f>
        <v>Data Engineer</v>
      </c>
      <c r="D387">
        <v>4.4000000000000004</v>
      </c>
      <c r="E387" t="s">
        <v>36</v>
      </c>
      <c r="F387" t="str">
        <f t="shared" ref="F387:F450" si="26">IFERROR(LEFT(E387, FIND(",", E387)-1), E387)</f>
        <v>Chantilly</v>
      </c>
      <c r="G387" t="s">
        <v>22</v>
      </c>
      <c r="H387" t="s">
        <v>74</v>
      </c>
      <c r="I387">
        <v>61</v>
      </c>
      <c r="J387">
        <v>109</v>
      </c>
      <c r="K387">
        <v>85</v>
      </c>
      <c r="L387" t="str">
        <f t="shared" ref="L387:L450" si="27">IF(K387&lt;50,"&lt;$50K",IF(K387&lt;75,"$50–75K",IF(K387&lt;100,"$75–100K",IF(K387&lt;125,"$100–125K",IF(K387&lt;150,"$125–150K","&gt;$150K")))))</f>
        <v>$75–100K</v>
      </c>
      <c r="M387">
        <v>17</v>
      </c>
    </row>
    <row r="388" spans="1:13">
      <c r="A388" t="s">
        <v>406</v>
      </c>
      <c r="B388" t="str">
        <f t="shared" si="24"/>
        <v>Senior</v>
      </c>
      <c r="C388" t="str">
        <f t="shared" si="25"/>
        <v>Data Scientist</v>
      </c>
      <c r="D388">
        <v>3.9</v>
      </c>
      <c r="E388" t="s">
        <v>407</v>
      </c>
      <c r="F388" t="str">
        <f t="shared" si="26"/>
        <v>Orlando</v>
      </c>
      <c r="G388" t="s">
        <v>25</v>
      </c>
      <c r="H388" t="s">
        <v>76</v>
      </c>
      <c r="I388">
        <v>93</v>
      </c>
      <c r="J388">
        <v>151</v>
      </c>
      <c r="K388">
        <v>122</v>
      </c>
      <c r="L388" t="str">
        <f t="shared" si="27"/>
        <v>$100–125K</v>
      </c>
      <c r="M388">
        <v>9</v>
      </c>
    </row>
    <row r="389" spans="1:13">
      <c r="A389" t="s">
        <v>408</v>
      </c>
      <c r="B389" t="str">
        <f t="shared" si="24"/>
        <v>Mid-Level</v>
      </c>
      <c r="C389" t="str">
        <f t="shared" si="25"/>
        <v>Data Scientist</v>
      </c>
      <c r="D389">
        <v>3.9</v>
      </c>
      <c r="E389" t="s">
        <v>59</v>
      </c>
      <c r="F389" t="str">
        <f t="shared" si="26"/>
        <v>Chicago</v>
      </c>
      <c r="G389" t="s">
        <v>9</v>
      </c>
      <c r="H389" t="s">
        <v>52</v>
      </c>
      <c r="I389">
        <v>52</v>
      </c>
      <c r="J389">
        <v>81</v>
      </c>
      <c r="K389">
        <v>66.5</v>
      </c>
      <c r="L389" t="str">
        <f t="shared" si="27"/>
        <v>$50–75K</v>
      </c>
      <c r="M389">
        <v>26</v>
      </c>
    </row>
    <row r="390" spans="1:13">
      <c r="A390" t="s">
        <v>409</v>
      </c>
      <c r="B390" t="str">
        <f t="shared" si="24"/>
        <v>Mid-Level</v>
      </c>
      <c r="C390" t="str">
        <f t="shared" si="25"/>
        <v>Data Scientist</v>
      </c>
      <c r="D390">
        <v>4.7</v>
      </c>
      <c r="E390" t="s">
        <v>410</v>
      </c>
      <c r="F390" t="str">
        <f t="shared" si="26"/>
        <v>Columbia</v>
      </c>
      <c r="G390" t="s">
        <v>19</v>
      </c>
      <c r="H390" t="s">
        <v>250</v>
      </c>
      <c r="I390">
        <v>40</v>
      </c>
      <c r="J390">
        <v>101</v>
      </c>
      <c r="K390">
        <v>70.5</v>
      </c>
      <c r="L390" t="str">
        <f t="shared" si="27"/>
        <v>$50–75K</v>
      </c>
      <c r="M390">
        <v>19</v>
      </c>
    </row>
    <row r="391" spans="1:13">
      <c r="A391" t="s">
        <v>180</v>
      </c>
      <c r="B391" t="str">
        <f t="shared" si="24"/>
        <v>Senior</v>
      </c>
      <c r="C391" t="str">
        <f t="shared" si="25"/>
        <v>Data Engineer</v>
      </c>
      <c r="D391">
        <v>4.7</v>
      </c>
      <c r="E391" t="s">
        <v>307</v>
      </c>
      <c r="F391" t="str">
        <f t="shared" si="26"/>
        <v>Austin</v>
      </c>
      <c r="G391" t="s">
        <v>22</v>
      </c>
      <c r="H391" t="s">
        <v>17</v>
      </c>
      <c r="I391">
        <v>97</v>
      </c>
      <c r="J391">
        <v>180</v>
      </c>
      <c r="K391">
        <v>138.5</v>
      </c>
      <c r="L391" t="str">
        <f t="shared" si="27"/>
        <v>$125–150K</v>
      </c>
      <c r="M391">
        <v>11</v>
      </c>
    </row>
    <row r="392" spans="1:13">
      <c r="A392" t="s">
        <v>411</v>
      </c>
      <c r="B392" t="str">
        <f t="shared" si="24"/>
        <v>Mid-Level</v>
      </c>
      <c r="C392" t="str">
        <f t="shared" si="25"/>
        <v>Data Scientist</v>
      </c>
      <c r="D392">
        <v>3.4</v>
      </c>
      <c r="E392" t="s">
        <v>102</v>
      </c>
      <c r="F392" t="str">
        <f t="shared" si="26"/>
        <v>Boston</v>
      </c>
      <c r="G392" t="s">
        <v>19</v>
      </c>
      <c r="H392" t="s">
        <v>30</v>
      </c>
      <c r="I392">
        <v>81</v>
      </c>
      <c r="J392">
        <v>134</v>
      </c>
      <c r="K392">
        <v>107.5</v>
      </c>
      <c r="L392" t="str">
        <f t="shared" si="27"/>
        <v>$100–125K</v>
      </c>
      <c r="M392">
        <v>78</v>
      </c>
    </row>
    <row r="393" spans="1:13">
      <c r="A393" t="s">
        <v>412</v>
      </c>
      <c r="B393" t="str">
        <f t="shared" si="24"/>
        <v>Mid-Level</v>
      </c>
      <c r="C393" t="str">
        <f t="shared" si="25"/>
        <v>Data Scientist</v>
      </c>
      <c r="D393">
        <v>3.8</v>
      </c>
      <c r="E393" t="s">
        <v>44</v>
      </c>
      <c r="F393" t="str">
        <f t="shared" si="26"/>
        <v>Cambridge</v>
      </c>
      <c r="G393" t="s">
        <v>9</v>
      </c>
      <c r="H393" t="s">
        <v>45</v>
      </c>
      <c r="I393">
        <v>84</v>
      </c>
      <c r="J393">
        <v>157</v>
      </c>
      <c r="K393">
        <v>120.5</v>
      </c>
      <c r="L393" t="str">
        <f t="shared" si="27"/>
        <v>$100–125K</v>
      </c>
      <c r="M393">
        <v>13</v>
      </c>
    </row>
    <row r="394" spans="1:13">
      <c r="A394" t="s">
        <v>413</v>
      </c>
      <c r="B394" t="str">
        <f t="shared" si="24"/>
        <v>Mid-Level</v>
      </c>
      <c r="C394" t="str">
        <f t="shared" si="25"/>
        <v>Data Scientist</v>
      </c>
      <c r="D394">
        <v>2.7</v>
      </c>
      <c r="E394" t="s">
        <v>176</v>
      </c>
      <c r="F394" t="str">
        <f t="shared" si="26"/>
        <v>Rockville</v>
      </c>
      <c r="G394" t="s">
        <v>25</v>
      </c>
      <c r="H394" t="s">
        <v>45</v>
      </c>
      <c r="I394">
        <v>49</v>
      </c>
      <c r="J394">
        <v>113</v>
      </c>
      <c r="K394">
        <v>81</v>
      </c>
      <c r="L394" t="str">
        <f t="shared" si="27"/>
        <v>$75–100K</v>
      </c>
      <c r="M394">
        <v>60</v>
      </c>
    </row>
    <row r="395" spans="1:13">
      <c r="A395" t="s">
        <v>414</v>
      </c>
      <c r="B395" t="str">
        <f t="shared" si="24"/>
        <v>Mid-Level</v>
      </c>
      <c r="C395" t="str">
        <f t="shared" si="25"/>
        <v>Data Scientist</v>
      </c>
      <c r="D395">
        <v>3.1</v>
      </c>
      <c r="E395" t="s">
        <v>355</v>
      </c>
      <c r="F395" t="str">
        <f t="shared" si="26"/>
        <v>Owensboro</v>
      </c>
      <c r="G395" t="s">
        <v>38</v>
      </c>
      <c r="H395" t="s">
        <v>86</v>
      </c>
      <c r="I395">
        <v>68</v>
      </c>
      <c r="J395">
        <v>139</v>
      </c>
      <c r="K395">
        <v>103.5</v>
      </c>
      <c r="L395" t="str">
        <f t="shared" si="27"/>
        <v>$100–125K</v>
      </c>
      <c r="M395">
        <v>146</v>
      </c>
    </row>
    <row r="396" spans="1:13">
      <c r="A396" t="s">
        <v>284</v>
      </c>
      <c r="B396" t="str">
        <f t="shared" si="24"/>
        <v>Senior</v>
      </c>
      <c r="C396" t="str">
        <f t="shared" si="25"/>
        <v>Data Engineer</v>
      </c>
      <c r="D396">
        <v>3.4</v>
      </c>
      <c r="E396" t="s">
        <v>59</v>
      </c>
      <c r="F396" t="str">
        <f t="shared" si="26"/>
        <v>Chicago</v>
      </c>
      <c r="G396" t="s">
        <v>19</v>
      </c>
      <c r="H396" t="s">
        <v>285</v>
      </c>
      <c r="I396">
        <v>75</v>
      </c>
      <c r="J396">
        <v>140</v>
      </c>
      <c r="K396">
        <v>107.5</v>
      </c>
      <c r="L396" t="str">
        <f t="shared" si="27"/>
        <v>$100–125K</v>
      </c>
      <c r="M396">
        <v>16</v>
      </c>
    </row>
    <row r="397" spans="1:13">
      <c r="A397" t="s">
        <v>415</v>
      </c>
      <c r="B397" t="str">
        <f t="shared" si="24"/>
        <v>Senior</v>
      </c>
      <c r="C397" t="str">
        <f t="shared" si="25"/>
        <v>Data Engineer</v>
      </c>
      <c r="D397">
        <v>4</v>
      </c>
      <c r="E397" t="s">
        <v>34</v>
      </c>
      <c r="F397" t="str">
        <f t="shared" si="26"/>
        <v>San Francisco</v>
      </c>
      <c r="G397" t="s">
        <v>19</v>
      </c>
      <c r="H397" t="s">
        <v>33</v>
      </c>
      <c r="I397">
        <v>121</v>
      </c>
      <c r="J397">
        <v>203</v>
      </c>
      <c r="K397">
        <v>162</v>
      </c>
      <c r="L397" t="str">
        <f t="shared" si="27"/>
        <v>&gt;$150K</v>
      </c>
      <c r="M397">
        <v>14</v>
      </c>
    </row>
    <row r="398" spans="1:13">
      <c r="A398" t="s">
        <v>416</v>
      </c>
      <c r="B398" t="str">
        <f t="shared" si="24"/>
        <v>Mid-Level</v>
      </c>
      <c r="C398" t="str">
        <f t="shared" si="25"/>
        <v>Data Scientist</v>
      </c>
      <c r="D398">
        <v>3.5</v>
      </c>
      <c r="E398" t="s">
        <v>75</v>
      </c>
      <c r="F398" t="str">
        <f t="shared" si="26"/>
        <v>Redlands</v>
      </c>
      <c r="G398" t="s">
        <v>19</v>
      </c>
      <c r="H398" t="s">
        <v>76</v>
      </c>
      <c r="I398">
        <v>52</v>
      </c>
      <c r="J398">
        <v>85</v>
      </c>
      <c r="K398">
        <v>68.5</v>
      </c>
      <c r="L398" t="str">
        <f t="shared" si="27"/>
        <v>$50–75K</v>
      </c>
      <c r="M398">
        <v>52</v>
      </c>
    </row>
    <row r="399" spans="1:13">
      <c r="A399" t="s">
        <v>417</v>
      </c>
      <c r="B399" t="str">
        <f t="shared" si="24"/>
        <v>Senior</v>
      </c>
      <c r="C399" t="str">
        <f t="shared" si="25"/>
        <v>Data Scientist</v>
      </c>
      <c r="D399">
        <v>3.4</v>
      </c>
      <c r="E399" t="s">
        <v>418</v>
      </c>
      <c r="F399" t="str">
        <f t="shared" si="26"/>
        <v>Westlake</v>
      </c>
      <c r="G399" t="s">
        <v>14</v>
      </c>
      <c r="H399" t="s">
        <v>55</v>
      </c>
      <c r="I399">
        <v>81</v>
      </c>
      <c r="J399">
        <v>140</v>
      </c>
      <c r="K399">
        <v>110.5</v>
      </c>
      <c r="L399" t="str">
        <f t="shared" si="27"/>
        <v>$100–125K</v>
      </c>
      <c r="M399">
        <v>43</v>
      </c>
    </row>
    <row r="400" spans="1:13">
      <c r="A400" t="s">
        <v>97</v>
      </c>
      <c r="B400" t="str">
        <f t="shared" si="24"/>
        <v>Mid-Level</v>
      </c>
      <c r="C400" t="str">
        <f t="shared" si="25"/>
        <v>Data Scientist</v>
      </c>
      <c r="D400">
        <v>3.7</v>
      </c>
      <c r="E400" t="s">
        <v>98</v>
      </c>
      <c r="F400" t="str">
        <f t="shared" si="26"/>
        <v>Peoria</v>
      </c>
      <c r="G400" t="s">
        <v>14</v>
      </c>
      <c r="H400" t="s">
        <v>99</v>
      </c>
      <c r="I400">
        <v>63</v>
      </c>
      <c r="J400">
        <v>99</v>
      </c>
      <c r="K400">
        <v>81</v>
      </c>
      <c r="L400" t="str">
        <f t="shared" si="27"/>
        <v>$75–100K</v>
      </c>
      <c r="M400">
        <v>96</v>
      </c>
    </row>
    <row r="401" spans="1:13">
      <c r="A401" t="s">
        <v>78</v>
      </c>
      <c r="B401" t="str">
        <f t="shared" si="24"/>
        <v>Senior</v>
      </c>
      <c r="C401" t="str">
        <f t="shared" si="25"/>
        <v>Data Scientist</v>
      </c>
      <c r="D401">
        <v>4.3</v>
      </c>
      <c r="E401" t="s">
        <v>59</v>
      </c>
      <c r="F401" t="str">
        <f t="shared" si="26"/>
        <v>Chicago</v>
      </c>
      <c r="G401" t="s">
        <v>19</v>
      </c>
      <c r="H401" t="s">
        <v>26</v>
      </c>
      <c r="I401">
        <v>110</v>
      </c>
      <c r="J401">
        <v>150</v>
      </c>
      <c r="K401">
        <v>130</v>
      </c>
      <c r="L401" t="str">
        <f t="shared" si="27"/>
        <v>$125–150K</v>
      </c>
      <c r="M401">
        <v>28</v>
      </c>
    </row>
    <row r="402" spans="1:13">
      <c r="A402" t="s">
        <v>419</v>
      </c>
      <c r="B402" t="str">
        <f t="shared" si="24"/>
        <v>Senior</v>
      </c>
      <c r="C402" t="str">
        <f t="shared" si="25"/>
        <v>Data Engineer</v>
      </c>
      <c r="D402">
        <v>3.7</v>
      </c>
      <c r="E402" t="s">
        <v>420</v>
      </c>
      <c r="F402" t="str">
        <f t="shared" si="26"/>
        <v>Des Moines</v>
      </c>
      <c r="G402" t="s">
        <v>25</v>
      </c>
      <c r="H402" t="s">
        <v>55</v>
      </c>
      <c r="I402">
        <v>83</v>
      </c>
      <c r="J402">
        <v>148</v>
      </c>
      <c r="K402">
        <v>115.5</v>
      </c>
      <c r="L402" t="str">
        <f t="shared" si="27"/>
        <v>$100–125K</v>
      </c>
      <c r="M402">
        <v>-1</v>
      </c>
    </row>
    <row r="403" spans="1:13">
      <c r="A403" t="s">
        <v>421</v>
      </c>
      <c r="B403" t="str">
        <f t="shared" si="24"/>
        <v>Senior</v>
      </c>
      <c r="C403" t="str">
        <f t="shared" si="25"/>
        <v>Data Scientist</v>
      </c>
      <c r="D403">
        <v>3.8</v>
      </c>
      <c r="E403" t="s">
        <v>18</v>
      </c>
      <c r="F403" t="str">
        <f t="shared" si="26"/>
        <v>Richland</v>
      </c>
      <c r="G403" t="s">
        <v>19</v>
      </c>
      <c r="H403" t="s">
        <v>20</v>
      </c>
      <c r="I403">
        <v>60</v>
      </c>
      <c r="J403">
        <v>101</v>
      </c>
      <c r="K403">
        <v>80.5</v>
      </c>
      <c r="L403" t="str">
        <f t="shared" si="27"/>
        <v>$75–100K</v>
      </c>
      <c r="M403">
        <v>56</v>
      </c>
    </row>
    <row r="404" spans="1:13">
      <c r="A404" t="s">
        <v>422</v>
      </c>
      <c r="B404" t="str">
        <f t="shared" si="24"/>
        <v>Mid-Level</v>
      </c>
      <c r="C404" t="str">
        <f t="shared" si="25"/>
        <v>Data Analyst</v>
      </c>
      <c r="D404">
        <v>4.5999999999999996</v>
      </c>
      <c r="E404" t="s">
        <v>423</v>
      </c>
      <c r="F404" t="str">
        <f t="shared" si="26"/>
        <v>Cedar Rapids</v>
      </c>
      <c r="G404" t="s">
        <v>9</v>
      </c>
      <c r="H404" t="s">
        <v>250</v>
      </c>
      <c r="I404">
        <v>31</v>
      </c>
      <c r="J404">
        <v>55</v>
      </c>
      <c r="K404">
        <v>43</v>
      </c>
      <c r="L404" t="str">
        <f t="shared" si="27"/>
        <v>&lt;$50K</v>
      </c>
      <c r="M404">
        <v>29</v>
      </c>
    </row>
    <row r="405" spans="1:13">
      <c r="A405" t="s">
        <v>424</v>
      </c>
      <c r="B405" t="str">
        <f t="shared" si="24"/>
        <v>Junior</v>
      </c>
      <c r="C405" t="str">
        <f t="shared" si="25"/>
        <v>Director/VP</v>
      </c>
      <c r="D405">
        <v>4.4000000000000004</v>
      </c>
      <c r="E405" t="s">
        <v>44</v>
      </c>
      <c r="F405" t="str">
        <f t="shared" si="26"/>
        <v>Cambridge</v>
      </c>
      <c r="G405" t="s">
        <v>25</v>
      </c>
      <c r="H405" t="s">
        <v>45</v>
      </c>
      <c r="I405">
        <v>102</v>
      </c>
      <c r="J405">
        <v>178</v>
      </c>
      <c r="K405">
        <v>140</v>
      </c>
      <c r="L405" t="str">
        <f t="shared" si="27"/>
        <v>$125–150K</v>
      </c>
      <c r="M405">
        <v>18</v>
      </c>
    </row>
    <row r="406" spans="1:13">
      <c r="A406" t="s">
        <v>425</v>
      </c>
      <c r="B406" t="str">
        <f t="shared" si="24"/>
        <v>Senior</v>
      </c>
      <c r="C406" t="str">
        <f t="shared" si="25"/>
        <v>Data Scientist</v>
      </c>
      <c r="D406">
        <v>-1</v>
      </c>
      <c r="E406" t="s">
        <v>44</v>
      </c>
      <c r="F406" t="str">
        <f t="shared" si="26"/>
        <v>Cambridge</v>
      </c>
      <c r="G406" t="s">
        <v>89</v>
      </c>
      <c r="H406">
        <v>-1</v>
      </c>
      <c r="I406">
        <v>110</v>
      </c>
      <c r="J406">
        <v>130</v>
      </c>
      <c r="K406">
        <v>120</v>
      </c>
      <c r="L406" t="str">
        <f t="shared" si="27"/>
        <v>$100–125K</v>
      </c>
      <c r="M406">
        <v>-1</v>
      </c>
    </row>
    <row r="407" spans="1:13">
      <c r="A407" t="s">
        <v>426</v>
      </c>
      <c r="B407" t="str">
        <f t="shared" si="24"/>
        <v>Senior</v>
      </c>
      <c r="C407" t="str">
        <f t="shared" si="25"/>
        <v>Data Analyst</v>
      </c>
      <c r="D407">
        <v>3</v>
      </c>
      <c r="E407" t="s">
        <v>120</v>
      </c>
      <c r="F407" t="str">
        <f t="shared" si="26"/>
        <v>Philadelphia</v>
      </c>
      <c r="G407" t="s">
        <v>38</v>
      </c>
      <c r="H407" t="s">
        <v>55</v>
      </c>
      <c r="I407">
        <v>48</v>
      </c>
      <c r="J407">
        <v>85</v>
      </c>
      <c r="K407">
        <v>66.5</v>
      </c>
      <c r="L407" t="str">
        <f t="shared" si="27"/>
        <v>$50–75K</v>
      </c>
      <c r="M407">
        <v>38</v>
      </c>
    </row>
    <row r="408" spans="1:13">
      <c r="A408" t="s">
        <v>427</v>
      </c>
      <c r="B408" t="str">
        <f t="shared" si="24"/>
        <v>Senior</v>
      </c>
      <c r="C408" t="str">
        <f t="shared" si="25"/>
        <v>Data Engineer</v>
      </c>
      <c r="D408">
        <v>4.7</v>
      </c>
      <c r="E408" t="s">
        <v>34</v>
      </c>
      <c r="F408" t="str">
        <f t="shared" si="26"/>
        <v>San Francisco</v>
      </c>
      <c r="G408" t="s">
        <v>22</v>
      </c>
      <c r="H408" t="s">
        <v>121</v>
      </c>
      <c r="I408">
        <v>66</v>
      </c>
      <c r="J408">
        <v>123</v>
      </c>
      <c r="K408">
        <v>94.5</v>
      </c>
      <c r="L408" t="str">
        <f t="shared" si="27"/>
        <v>$75–100K</v>
      </c>
      <c r="M408">
        <v>15</v>
      </c>
    </row>
    <row r="409" spans="1:13">
      <c r="A409" t="s">
        <v>428</v>
      </c>
      <c r="B409" t="str">
        <f t="shared" si="24"/>
        <v>Senior</v>
      </c>
      <c r="C409" t="str">
        <f t="shared" si="25"/>
        <v>Data Scientist</v>
      </c>
      <c r="D409">
        <v>3.8</v>
      </c>
      <c r="E409" t="s">
        <v>29</v>
      </c>
      <c r="F409" t="str">
        <f t="shared" si="26"/>
        <v>Seattle</v>
      </c>
      <c r="G409" t="s">
        <v>19</v>
      </c>
      <c r="H409" t="s">
        <v>20</v>
      </c>
      <c r="I409">
        <v>92</v>
      </c>
      <c r="J409">
        <v>146</v>
      </c>
      <c r="K409">
        <v>119</v>
      </c>
      <c r="L409" t="str">
        <f t="shared" si="27"/>
        <v>$100–125K</v>
      </c>
      <c r="M409">
        <v>56</v>
      </c>
    </row>
    <row r="410" spans="1:13">
      <c r="A410" t="s">
        <v>429</v>
      </c>
      <c r="B410" t="str">
        <f t="shared" si="24"/>
        <v>Mid-Level</v>
      </c>
      <c r="C410" t="str">
        <f t="shared" si="25"/>
        <v>Data Scientist</v>
      </c>
      <c r="D410">
        <v>3.2</v>
      </c>
      <c r="E410" t="s">
        <v>94</v>
      </c>
      <c r="F410" t="str">
        <f t="shared" si="26"/>
        <v>Omaha</v>
      </c>
      <c r="G410" t="s">
        <v>14</v>
      </c>
      <c r="H410" t="s">
        <v>15</v>
      </c>
      <c r="I410">
        <v>43</v>
      </c>
      <c r="J410">
        <v>60</v>
      </c>
      <c r="K410">
        <v>51.5</v>
      </c>
      <c r="L410" t="str">
        <f t="shared" si="27"/>
        <v>$50–75K</v>
      </c>
      <c r="M410">
        <v>25</v>
      </c>
    </row>
    <row r="411" spans="1:13">
      <c r="A411" t="s">
        <v>430</v>
      </c>
      <c r="B411" t="str">
        <f t="shared" si="24"/>
        <v>Senior</v>
      </c>
      <c r="C411" t="str">
        <f t="shared" si="25"/>
        <v>Data Analyst</v>
      </c>
      <c r="D411">
        <v>2.7</v>
      </c>
      <c r="E411" t="s">
        <v>302</v>
      </c>
      <c r="F411" t="str">
        <f t="shared" si="26"/>
        <v>Nashville</v>
      </c>
      <c r="G411" t="s">
        <v>38</v>
      </c>
      <c r="H411" t="s">
        <v>113</v>
      </c>
      <c r="I411">
        <v>20</v>
      </c>
      <c r="J411">
        <v>35</v>
      </c>
      <c r="K411">
        <v>27.5</v>
      </c>
      <c r="L411" t="str">
        <f t="shared" si="27"/>
        <v>&lt;$50K</v>
      </c>
      <c r="M411">
        <v>21</v>
      </c>
    </row>
    <row r="412" spans="1:13">
      <c r="A412" t="s">
        <v>431</v>
      </c>
      <c r="B412" t="str">
        <f t="shared" si="24"/>
        <v>Management</v>
      </c>
      <c r="C412" t="str">
        <f t="shared" si="25"/>
        <v>Director/VP</v>
      </c>
      <c r="D412">
        <v>3.3</v>
      </c>
      <c r="E412" t="s">
        <v>59</v>
      </c>
      <c r="F412" t="str">
        <f t="shared" si="26"/>
        <v>Chicago</v>
      </c>
      <c r="G412" t="s">
        <v>14</v>
      </c>
      <c r="H412" t="s">
        <v>55</v>
      </c>
      <c r="I412">
        <v>150</v>
      </c>
      <c r="J412">
        <v>239</v>
      </c>
      <c r="K412">
        <v>194.5</v>
      </c>
      <c r="L412" t="str">
        <f t="shared" si="27"/>
        <v>&gt;$150K</v>
      </c>
      <c r="M412">
        <v>109</v>
      </c>
    </row>
    <row r="413" spans="1:13">
      <c r="A413" t="s">
        <v>432</v>
      </c>
      <c r="B413" t="str">
        <f t="shared" si="24"/>
        <v>Senior</v>
      </c>
      <c r="C413" t="str">
        <f t="shared" si="25"/>
        <v>Research Scientist</v>
      </c>
      <c r="D413">
        <v>3.9</v>
      </c>
      <c r="E413" t="s">
        <v>339</v>
      </c>
      <c r="F413" t="str">
        <f t="shared" si="26"/>
        <v>San Antonio</v>
      </c>
      <c r="G413" t="s">
        <v>19</v>
      </c>
      <c r="H413" t="s">
        <v>39</v>
      </c>
      <c r="I413">
        <v>52</v>
      </c>
      <c r="J413">
        <v>91</v>
      </c>
      <c r="K413">
        <v>71.5</v>
      </c>
      <c r="L413" t="str">
        <f t="shared" si="27"/>
        <v>$50–75K</v>
      </c>
      <c r="M413">
        <v>74</v>
      </c>
    </row>
    <row r="414" spans="1:13">
      <c r="A414" t="s">
        <v>433</v>
      </c>
      <c r="B414" t="str">
        <f t="shared" si="24"/>
        <v>Mid-Level</v>
      </c>
      <c r="C414" t="str">
        <f t="shared" si="25"/>
        <v>Data Scientist</v>
      </c>
      <c r="D414">
        <v>3.7</v>
      </c>
      <c r="E414" t="s">
        <v>307</v>
      </c>
      <c r="F414" t="str">
        <f t="shared" si="26"/>
        <v>Austin</v>
      </c>
      <c r="G414" t="s">
        <v>9</v>
      </c>
      <c r="H414" t="s">
        <v>208</v>
      </c>
      <c r="I414">
        <v>82</v>
      </c>
      <c r="J414">
        <v>129</v>
      </c>
      <c r="K414">
        <v>105.5</v>
      </c>
      <c r="L414" t="str">
        <f t="shared" si="27"/>
        <v>$100–125K</v>
      </c>
      <c r="M414">
        <v>-1</v>
      </c>
    </row>
    <row r="415" spans="1:13">
      <c r="A415" t="s">
        <v>434</v>
      </c>
      <c r="B415" t="str">
        <f t="shared" si="24"/>
        <v>Senior</v>
      </c>
      <c r="C415" t="str">
        <f t="shared" si="25"/>
        <v>Data Scientist</v>
      </c>
      <c r="D415">
        <v>3.1</v>
      </c>
      <c r="E415" t="s">
        <v>356</v>
      </c>
      <c r="F415" t="str">
        <f t="shared" si="26"/>
        <v>Winston-Salem</v>
      </c>
      <c r="G415" t="s">
        <v>38</v>
      </c>
      <c r="H415" t="s">
        <v>86</v>
      </c>
      <c r="I415">
        <v>47</v>
      </c>
      <c r="J415">
        <v>101</v>
      </c>
      <c r="K415">
        <v>74</v>
      </c>
      <c r="L415" t="str">
        <f t="shared" si="27"/>
        <v>$50–75K</v>
      </c>
      <c r="M415">
        <v>146</v>
      </c>
    </row>
    <row r="416" spans="1:13">
      <c r="A416" t="s">
        <v>435</v>
      </c>
      <c r="B416" t="str">
        <f t="shared" si="24"/>
        <v>Mid-Level</v>
      </c>
      <c r="C416" t="str">
        <f t="shared" si="25"/>
        <v>Data Analyst</v>
      </c>
      <c r="D416">
        <v>3.7</v>
      </c>
      <c r="E416" t="s">
        <v>104</v>
      </c>
      <c r="F416" t="str">
        <f t="shared" si="26"/>
        <v>Huntsville</v>
      </c>
      <c r="G416" t="s">
        <v>14</v>
      </c>
      <c r="H416" t="s">
        <v>10</v>
      </c>
      <c r="I416">
        <v>49</v>
      </c>
      <c r="J416">
        <v>76</v>
      </c>
      <c r="K416">
        <v>62.5</v>
      </c>
      <c r="L416" t="str">
        <f t="shared" si="27"/>
        <v>$50–75K</v>
      </c>
      <c r="M416">
        <v>99</v>
      </c>
    </row>
    <row r="417" spans="1:13">
      <c r="A417" t="s">
        <v>436</v>
      </c>
      <c r="B417" t="str">
        <f t="shared" si="24"/>
        <v>Senior</v>
      </c>
      <c r="C417" t="str">
        <f t="shared" si="25"/>
        <v>Research Scientist</v>
      </c>
      <c r="D417">
        <v>4.3</v>
      </c>
      <c r="E417" t="s">
        <v>398</v>
      </c>
      <c r="F417" t="str">
        <f t="shared" si="26"/>
        <v>Durham</v>
      </c>
      <c r="G417" t="s">
        <v>19</v>
      </c>
      <c r="H417" t="s">
        <v>39</v>
      </c>
      <c r="I417">
        <v>43</v>
      </c>
      <c r="J417">
        <v>88</v>
      </c>
      <c r="K417">
        <v>65.5</v>
      </c>
      <c r="L417" t="str">
        <f t="shared" si="27"/>
        <v>$50–75K</v>
      </c>
      <c r="M417">
        <v>63</v>
      </c>
    </row>
    <row r="418" spans="1:13">
      <c r="A418" t="s">
        <v>437</v>
      </c>
      <c r="B418" t="str">
        <f t="shared" si="24"/>
        <v>Management</v>
      </c>
      <c r="C418" t="str">
        <f t="shared" si="25"/>
        <v>Director/VP</v>
      </c>
      <c r="D418">
        <v>3.6</v>
      </c>
      <c r="E418" t="s">
        <v>438</v>
      </c>
      <c r="F418" t="str">
        <f t="shared" si="26"/>
        <v>Fort Lee</v>
      </c>
      <c r="G418" t="s">
        <v>19</v>
      </c>
      <c r="H418" t="s">
        <v>23</v>
      </c>
      <c r="I418">
        <v>124</v>
      </c>
      <c r="J418">
        <v>199</v>
      </c>
      <c r="K418">
        <v>161.5</v>
      </c>
      <c r="L418" t="str">
        <f t="shared" si="27"/>
        <v>&gt;$150K</v>
      </c>
      <c r="M418">
        <v>32</v>
      </c>
    </row>
    <row r="419" spans="1:13">
      <c r="A419" t="s">
        <v>439</v>
      </c>
      <c r="B419" t="str">
        <f t="shared" si="24"/>
        <v>Senior</v>
      </c>
      <c r="C419" t="str">
        <f t="shared" si="25"/>
        <v>Data Analyst</v>
      </c>
      <c r="D419">
        <v>2.1</v>
      </c>
      <c r="E419" t="s">
        <v>440</v>
      </c>
      <c r="F419" t="str">
        <f t="shared" si="26"/>
        <v>Blue Bell</v>
      </c>
      <c r="G419" t="s">
        <v>19</v>
      </c>
      <c r="H419" t="s">
        <v>45</v>
      </c>
      <c r="I419">
        <v>52</v>
      </c>
      <c r="J419">
        <v>93</v>
      </c>
      <c r="K419">
        <v>72.5</v>
      </c>
      <c r="L419" t="str">
        <f t="shared" si="27"/>
        <v>$50–75K</v>
      </c>
      <c r="M419">
        <v>18</v>
      </c>
    </row>
    <row r="420" spans="1:13">
      <c r="A420" t="s">
        <v>180</v>
      </c>
      <c r="B420" t="str">
        <f t="shared" si="24"/>
        <v>Senior</v>
      </c>
      <c r="C420" t="str">
        <f t="shared" si="25"/>
        <v>Data Engineer</v>
      </c>
      <c r="D420">
        <v>3.9</v>
      </c>
      <c r="E420" t="s">
        <v>34</v>
      </c>
      <c r="F420" t="str">
        <f t="shared" si="26"/>
        <v>San Francisco</v>
      </c>
      <c r="G420" t="s">
        <v>22</v>
      </c>
      <c r="H420" t="s">
        <v>76</v>
      </c>
      <c r="I420">
        <v>97</v>
      </c>
      <c r="J420">
        <v>181</v>
      </c>
      <c r="K420">
        <v>139</v>
      </c>
      <c r="L420" t="str">
        <f t="shared" si="27"/>
        <v>$125–150K</v>
      </c>
      <c r="M420">
        <v>13</v>
      </c>
    </row>
    <row r="421" spans="1:13">
      <c r="A421" t="s">
        <v>180</v>
      </c>
      <c r="B421" t="str">
        <f t="shared" si="24"/>
        <v>Senior</v>
      </c>
      <c r="C421" t="str">
        <f t="shared" si="25"/>
        <v>Data Engineer</v>
      </c>
      <c r="D421">
        <v>3.9</v>
      </c>
      <c r="E421" t="s">
        <v>34</v>
      </c>
      <c r="F421" t="str">
        <f t="shared" si="26"/>
        <v>San Francisco</v>
      </c>
      <c r="G421" t="s">
        <v>25</v>
      </c>
      <c r="H421" t="s">
        <v>33</v>
      </c>
      <c r="I421">
        <v>100</v>
      </c>
      <c r="J421">
        <v>173</v>
      </c>
      <c r="K421">
        <v>136.5</v>
      </c>
      <c r="L421" t="str">
        <f t="shared" si="27"/>
        <v>$125–150K</v>
      </c>
      <c r="M421">
        <v>14</v>
      </c>
    </row>
    <row r="422" spans="1:13">
      <c r="A422" t="s">
        <v>441</v>
      </c>
      <c r="B422" t="str">
        <f t="shared" si="24"/>
        <v>Junior</v>
      </c>
      <c r="C422" t="str">
        <f t="shared" si="25"/>
        <v>ML Engineer</v>
      </c>
      <c r="D422">
        <v>3.8</v>
      </c>
      <c r="E422" t="s">
        <v>21</v>
      </c>
      <c r="F422" t="str">
        <f t="shared" si="26"/>
        <v>New York</v>
      </c>
      <c r="G422" t="s">
        <v>19</v>
      </c>
      <c r="H422" t="s">
        <v>201</v>
      </c>
      <c r="I422">
        <v>53</v>
      </c>
      <c r="J422">
        <v>96</v>
      </c>
      <c r="K422">
        <v>74.5</v>
      </c>
      <c r="L422" t="str">
        <f t="shared" si="27"/>
        <v>$50–75K</v>
      </c>
      <c r="M422">
        <v>19</v>
      </c>
    </row>
    <row r="423" spans="1:13">
      <c r="A423" t="s">
        <v>442</v>
      </c>
      <c r="B423" t="str">
        <f t="shared" si="24"/>
        <v>Senior</v>
      </c>
      <c r="C423" t="str">
        <f t="shared" si="25"/>
        <v>Data Scientist</v>
      </c>
      <c r="D423">
        <v>3.1</v>
      </c>
      <c r="E423" t="s">
        <v>356</v>
      </c>
      <c r="F423" t="str">
        <f t="shared" si="26"/>
        <v>Winston-Salem</v>
      </c>
      <c r="G423" t="s">
        <v>38</v>
      </c>
      <c r="H423" t="s">
        <v>86</v>
      </c>
      <c r="I423">
        <v>65</v>
      </c>
      <c r="J423">
        <v>96</v>
      </c>
      <c r="K423">
        <v>80.5</v>
      </c>
      <c r="L423" t="str">
        <f t="shared" si="27"/>
        <v>$75–100K</v>
      </c>
      <c r="M423">
        <v>146</v>
      </c>
    </row>
    <row r="424" spans="1:13">
      <c r="A424" t="s">
        <v>7</v>
      </c>
      <c r="B424" t="str">
        <f t="shared" si="24"/>
        <v>Mid-Level</v>
      </c>
      <c r="C424" t="str">
        <f t="shared" si="25"/>
        <v>Data Scientist</v>
      </c>
      <c r="D424">
        <v>3.5</v>
      </c>
      <c r="E424" t="s">
        <v>8</v>
      </c>
      <c r="F424" t="str">
        <f t="shared" si="26"/>
        <v>Albuquerque</v>
      </c>
      <c r="G424" t="s">
        <v>38</v>
      </c>
      <c r="H424" t="s">
        <v>45</v>
      </c>
      <c r="I424">
        <v>56</v>
      </c>
      <c r="J424">
        <v>95</v>
      </c>
      <c r="K424">
        <v>75.5</v>
      </c>
      <c r="L424" t="str">
        <f t="shared" si="27"/>
        <v>$75–100K</v>
      </c>
      <c r="M424">
        <v>151</v>
      </c>
    </row>
    <row r="425" spans="1:13">
      <c r="A425" t="s">
        <v>7</v>
      </c>
      <c r="B425" t="str">
        <f t="shared" si="24"/>
        <v>Mid-Level</v>
      </c>
      <c r="C425" t="str">
        <f t="shared" si="25"/>
        <v>Data Scientist</v>
      </c>
      <c r="D425">
        <v>4.7</v>
      </c>
      <c r="E425" t="s">
        <v>108</v>
      </c>
      <c r="F425" t="str">
        <f t="shared" si="26"/>
        <v>Saint Louis</v>
      </c>
      <c r="G425" t="s">
        <v>22</v>
      </c>
      <c r="H425" t="s">
        <v>74</v>
      </c>
      <c r="I425">
        <v>111</v>
      </c>
      <c r="J425">
        <v>176</v>
      </c>
      <c r="K425">
        <v>143.5</v>
      </c>
      <c r="L425" t="str">
        <f t="shared" si="27"/>
        <v>$125–150K</v>
      </c>
      <c r="M425">
        <v>5</v>
      </c>
    </row>
    <row r="426" spans="1:13">
      <c r="A426" t="s">
        <v>7</v>
      </c>
      <c r="B426" t="str">
        <f t="shared" si="24"/>
        <v>Mid-Level</v>
      </c>
      <c r="C426" t="str">
        <f t="shared" si="25"/>
        <v>Data Scientist</v>
      </c>
      <c r="D426">
        <v>5</v>
      </c>
      <c r="E426" t="s">
        <v>443</v>
      </c>
      <c r="F426" t="str">
        <f t="shared" si="26"/>
        <v>Springfield</v>
      </c>
      <c r="G426" t="s">
        <v>22</v>
      </c>
      <c r="H426" t="s">
        <v>10</v>
      </c>
      <c r="I426">
        <v>75</v>
      </c>
      <c r="J426">
        <v>127</v>
      </c>
      <c r="K426">
        <v>101</v>
      </c>
      <c r="L426" t="str">
        <f t="shared" si="27"/>
        <v>$100–125K</v>
      </c>
      <c r="M426">
        <v>7</v>
      </c>
    </row>
    <row r="427" spans="1:13">
      <c r="A427" t="s">
        <v>80</v>
      </c>
      <c r="B427" t="str">
        <f t="shared" si="24"/>
        <v>Mid-Level</v>
      </c>
      <c r="C427" t="str">
        <f t="shared" si="25"/>
        <v>Data Engineer</v>
      </c>
      <c r="D427">
        <v>3.6</v>
      </c>
      <c r="E427" t="s">
        <v>217</v>
      </c>
      <c r="F427" t="str">
        <f t="shared" si="26"/>
        <v>Springfield</v>
      </c>
      <c r="G427" t="s">
        <v>38</v>
      </c>
      <c r="H427" t="s">
        <v>55</v>
      </c>
      <c r="I427">
        <v>65</v>
      </c>
      <c r="J427">
        <v>119</v>
      </c>
      <c r="K427">
        <v>92</v>
      </c>
      <c r="L427" t="str">
        <f t="shared" si="27"/>
        <v>$75–100K</v>
      </c>
      <c r="M427">
        <v>170</v>
      </c>
    </row>
    <row r="428" spans="1:13">
      <c r="A428" t="s">
        <v>344</v>
      </c>
      <c r="B428" t="str">
        <f t="shared" si="24"/>
        <v>Mid-Level</v>
      </c>
      <c r="C428" t="str">
        <f t="shared" si="25"/>
        <v>Data Scientist</v>
      </c>
      <c r="D428">
        <v>3.8</v>
      </c>
      <c r="E428" t="s">
        <v>18</v>
      </c>
      <c r="F428" t="str">
        <f t="shared" si="26"/>
        <v>Richland</v>
      </c>
      <c r="G428" t="s">
        <v>19</v>
      </c>
      <c r="H428" t="s">
        <v>20</v>
      </c>
      <c r="I428">
        <v>56</v>
      </c>
      <c r="J428">
        <v>97</v>
      </c>
      <c r="K428">
        <v>76.5</v>
      </c>
      <c r="L428" t="str">
        <f t="shared" si="27"/>
        <v>$75–100K</v>
      </c>
      <c r="M428">
        <v>56</v>
      </c>
    </row>
    <row r="429" spans="1:13">
      <c r="A429" t="s">
        <v>257</v>
      </c>
      <c r="B429" t="str">
        <f t="shared" si="24"/>
        <v>Senior</v>
      </c>
      <c r="C429" t="str">
        <f t="shared" si="25"/>
        <v>Data Scientist</v>
      </c>
      <c r="D429">
        <v>4.7</v>
      </c>
      <c r="E429" t="s">
        <v>204</v>
      </c>
      <c r="F429" t="str">
        <f t="shared" si="26"/>
        <v>Salt Lake City</v>
      </c>
      <c r="G429" t="s">
        <v>22</v>
      </c>
      <c r="H429" t="s">
        <v>45</v>
      </c>
      <c r="I429">
        <v>108</v>
      </c>
      <c r="J429">
        <v>173</v>
      </c>
      <c r="K429">
        <v>140.5</v>
      </c>
      <c r="L429" t="str">
        <f t="shared" si="27"/>
        <v>$125–150K</v>
      </c>
      <c r="M429">
        <v>8</v>
      </c>
    </row>
    <row r="430" spans="1:13">
      <c r="A430" t="s">
        <v>7</v>
      </c>
      <c r="B430" t="str">
        <f t="shared" si="24"/>
        <v>Mid-Level</v>
      </c>
      <c r="C430" t="str">
        <f t="shared" si="25"/>
        <v>Data Scientist</v>
      </c>
      <c r="D430">
        <v>3.6</v>
      </c>
      <c r="E430" t="s">
        <v>444</v>
      </c>
      <c r="F430" t="str">
        <f t="shared" si="26"/>
        <v>Jersey City</v>
      </c>
      <c r="G430" t="s">
        <v>14</v>
      </c>
      <c r="H430" t="s">
        <v>231</v>
      </c>
      <c r="I430">
        <v>94</v>
      </c>
      <c r="J430">
        <v>139</v>
      </c>
      <c r="K430">
        <v>116.5</v>
      </c>
      <c r="L430" t="str">
        <f t="shared" si="27"/>
        <v>$100–125K</v>
      </c>
      <c r="M430">
        <v>209</v>
      </c>
    </row>
    <row r="431" spans="1:13">
      <c r="A431" t="s">
        <v>445</v>
      </c>
      <c r="B431" t="str">
        <f t="shared" si="24"/>
        <v>Senior</v>
      </c>
      <c r="C431" t="str">
        <f t="shared" si="25"/>
        <v>ML Engineer</v>
      </c>
      <c r="D431">
        <v>4.7</v>
      </c>
      <c r="E431" t="s">
        <v>34</v>
      </c>
      <c r="F431" t="str">
        <f t="shared" si="26"/>
        <v>San Francisco</v>
      </c>
      <c r="G431" t="s">
        <v>9</v>
      </c>
      <c r="H431" t="s">
        <v>76</v>
      </c>
      <c r="I431">
        <v>176</v>
      </c>
      <c r="J431">
        <v>289</v>
      </c>
      <c r="K431">
        <v>232.5</v>
      </c>
      <c r="L431" t="str">
        <f t="shared" si="27"/>
        <v>&gt;$150K</v>
      </c>
      <c r="M431">
        <v>22</v>
      </c>
    </row>
    <row r="432" spans="1:13">
      <c r="A432" t="s">
        <v>7</v>
      </c>
      <c r="B432" t="str">
        <f t="shared" si="24"/>
        <v>Mid-Level</v>
      </c>
      <c r="C432" t="str">
        <f t="shared" si="25"/>
        <v>Data Scientist</v>
      </c>
      <c r="D432">
        <v>3.5</v>
      </c>
      <c r="E432" t="s">
        <v>34</v>
      </c>
      <c r="F432" t="str">
        <f t="shared" si="26"/>
        <v>San Francisco</v>
      </c>
      <c r="G432" t="s">
        <v>22</v>
      </c>
      <c r="H432" t="s">
        <v>52</v>
      </c>
      <c r="I432">
        <v>92</v>
      </c>
      <c r="J432">
        <v>149</v>
      </c>
      <c r="K432">
        <v>120.5</v>
      </c>
      <c r="L432" t="str">
        <f t="shared" si="27"/>
        <v>$100–125K</v>
      </c>
      <c r="M432">
        <v>5</v>
      </c>
    </row>
    <row r="433" spans="1:13">
      <c r="A433" t="s">
        <v>345</v>
      </c>
      <c r="B433" t="str">
        <f t="shared" si="24"/>
        <v>Mid-Level</v>
      </c>
      <c r="C433" t="str">
        <f t="shared" si="25"/>
        <v>Data Scientist</v>
      </c>
      <c r="D433">
        <v>3.5</v>
      </c>
      <c r="E433" t="s">
        <v>140</v>
      </c>
      <c r="F433" t="str">
        <f t="shared" si="26"/>
        <v>Arlington</v>
      </c>
      <c r="G433" t="s">
        <v>19</v>
      </c>
      <c r="H433" t="s">
        <v>76</v>
      </c>
      <c r="I433">
        <v>63</v>
      </c>
      <c r="J433">
        <v>101</v>
      </c>
      <c r="K433">
        <v>82</v>
      </c>
      <c r="L433" t="str">
        <f t="shared" si="27"/>
        <v>$75–100K</v>
      </c>
      <c r="M433">
        <v>52</v>
      </c>
    </row>
    <row r="434" spans="1:13">
      <c r="A434" t="s">
        <v>259</v>
      </c>
      <c r="B434" t="str">
        <f t="shared" si="24"/>
        <v>Senior</v>
      </c>
      <c r="C434" t="str">
        <f t="shared" si="25"/>
        <v>Data Scientist</v>
      </c>
      <c r="D434">
        <v>3.3</v>
      </c>
      <c r="E434" t="s">
        <v>32</v>
      </c>
      <c r="F434" t="str">
        <f t="shared" si="26"/>
        <v>Rochester</v>
      </c>
      <c r="G434" t="s">
        <v>14</v>
      </c>
      <c r="H434" t="s">
        <v>15</v>
      </c>
      <c r="I434">
        <v>54</v>
      </c>
      <c r="J434">
        <v>115</v>
      </c>
      <c r="K434">
        <v>84.5</v>
      </c>
      <c r="L434" t="str">
        <f t="shared" si="27"/>
        <v>$75–100K</v>
      </c>
      <c r="M434">
        <v>7</v>
      </c>
    </row>
    <row r="435" spans="1:13">
      <c r="A435" t="s">
        <v>7</v>
      </c>
      <c r="B435" t="str">
        <f t="shared" si="24"/>
        <v>Mid-Level</v>
      </c>
      <c r="C435" t="str">
        <f t="shared" si="25"/>
        <v>Data Scientist</v>
      </c>
      <c r="D435">
        <v>2.7</v>
      </c>
      <c r="E435" t="s">
        <v>446</v>
      </c>
      <c r="F435" t="str">
        <f t="shared" si="26"/>
        <v>Emeryville</v>
      </c>
      <c r="G435" t="s">
        <v>14</v>
      </c>
      <c r="H435" t="s">
        <v>74</v>
      </c>
      <c r="I435">
        <v>118</v>
      </c>
      <c r="J435">
        <v>188</v>
      </c>
      <c r="K435">
        <v>153</v>
      </c>
      <c r="L435" t="str">
        <f t="shared" si="27"/>
        <v>&gt;$150K</v>
      </c>
      <c r="M435">
        <v>14</v>
      </c>
    </row>
    <row r="436" spans="1:13">
      <c r="A436" t="s">
        <v>7</v>
      </c>
      <c r="B436" t="str">
        <f t="shared" si="24"/>
        <v>Mid-Level</v>
      </c>
      <c r="C436" t="str">
        <f t="shared" si="25"/>
        <v>Data Scientist</v>
      </c>
      <c r="D436">
        <v>3.4</v>
      </c>
      <c r="E436" t="s">
        <v>112</v>
      </c>
      <c r="F436" t="str">
        <f t="shared" si="26"/>
        <v>Palo Alto</v>
      </c>
      <c r="G436" t="s">
        <v>9</v>
      </c>
      <c r="H436" t="s">
        <v>33</v>
      </c>
      <c r="I436">
        <v>108</v>
      </c>
      <c r="J436">
        <v>146</v>
      </c>
      <c r="K436">
        <v>127</v>
      </c>
      <c r="L436" t="str">
        <f t="shared" si="27"/>
        <v>$125–150K</v>
      </c>
      <c r="M436">
        <v>13</v>
      </c>
    </row>
    <row r="437" spans="1:13">
      <c r="A437" t="s">
        <v>7</v>
      </c>
      <c r="B437" t="str">
        <f t="shared" si="24"/>
        <v>Mid-Level</v>
      </c>
      <c r="C437" t="str">
        <f t="shared" si="25"/>
        <v>Data Scientist</v>
      </c>
      <c r="D437">
        <v>4.7</v>
      </c>
      <c r="E437" t="s">
        <v>447</v>
      </c>
      <c r="F437" t="str">
        <f t="shared" si="26"/>
        <v>Santa Barbara</v>
      </c>
      <c r="G437" t="s">
        <v>22</v>
      </c>
      <c r="H437" t="s">
        <v>76</v>
      </c>
      <c r="I437">
        <v>65</v>
      </c>
      <c r="J437">
        <v>106</v>
      </c>
      <c r="K437">
        <v>85.5</v>
      </c>
      <c r="L437" t="str">
        <f t="shared" si="27"/>
        <v>$75–100K</v>
      </c>
      <c r="M437">
        <v>11</v>
      </c>
    </row>
    <row r="438" spans="1:13">
      <c r="A438" t="s">
        <v>7</v>
      </c>
      <c r="B438" t="str">
        <f t="shared" si="24"/>
        <v>Mid-Level</v>
      </c>
      <c r="C438" t="str">
        <f t="shared" si="25"/>
        <v>Data Scientist</v>
      </c>
      <c r="D438">
        <v>2.8</v>
      </c>
      <c r="E438" t="s">
        <v>448</v>
      </c>
      <c r="F438" t="str">
        <f t="shared" si="26"/>
        <v>Carle Place</v>
      </c>
      <c r="G438" t="s">
        <v>19</v>
      </c>
      <c r="H438" t="s">
        <v>128</v>
      </c>
      <c r="I438">
        <v>55</v>
      </c>
      <c r="J438">
        <v>98</v>
      </c>
      <c r="K438">
        <v>76.5</v>
      </c>
      <c r="L438" t="str">
        <f t="shared" si="27"/>
        <v>$75–100K</v>
      </c>
      <c r="M438">
        <v>45</v>
      </c>
    </row>
    <row r="439" spans="1:13">
      <c r="A439" t="s">
        <v>7</v>
      </c>
      <c r="B439" t="str">
        <f t="shared" si="24"/>
        <v>Mid-Level</v>
      </c>
      <c r="C439" t="str">
        <f t="shared" si="25"/>
        <v>Data Scientist</v>
      </c>
      <c r="D439">
        <v>3.5</v>
      </c>
      <c r="E439" t="s">
        <v>21</v>
      </c>
      <c r="F439" t="str">
        <f t="shared" si="26"/>
        <v>New York</v>
      </c>
      <c r="G439" t="s">
        <v>19</v>
      </c>
      <c r="H439" t="s">
        <v>181</v>
      </c>
      <c r="I439">
        <v>94</v>
      </c>
      <c r="J439">
        <v>162</v>
      </c>
      <c r="K439">
        <v>128</v>
      </c>
      <c r="L439" t="str">
        <f t="shared" si="27"/>
        <v>$125–150K</v>
      </c>
      <c r="M439">
        <v>29</v>
      </c>
    </row>
    <row r="440" spans="1:13">
      <c r="A440" t="s">
        <v>80</v>
      </c>
      <c r="B440" t="str">
        <f t="shared" si="24"/>
        <v>Mid-Level</v>
      </c>
      <c r="C440" t="str">
        <f t="shared" si="25"/>
        <v>Data Engineer</v>
      </c>
      <c r="D440">
        <v>3.2</v>
      </c>
      <c r="E440" t="s">
        <v>449</v>
      </c>
      <c r="F440" t="str">
        <f t="shared" si="26"/>
        <v>King of Prussia</v>
      </c>
      <c r="G440" s="1">
        <v>18264</v>
      </c>
      <c r="H440" t="s">
        <v>121</v>
      </c>
      <c r="I440">
        <v>63</v>
      </c>
      <c r="J440">
        <v>120</v>
      </c>
      <c r="K440">
        <v>91.5</v>
      </c>
      <c r="L440" t="str">
        <f t="shared" si="27"/>
        <v>$75–100K</v>
      </c>
      <c r="M440">
        <v>-1</v>
      </c>
    </row>
    <row r="441" spans="1:13">
      <c r="A441" t="s">
        <v>262</v>
      </c>
      <c r="B441" t="str">
        <f t="shared" si="24"/>
        <v>Senior</v>
      </c>
      <c r="C441" t="str">
        <f t="shared" si="25"/>
        <v>Data Scientist</v>
      </c>
      <c r="D441">
        <v>4.4000000000000004</v>
      </c>
      <c r="E441" t="s">
        <v>44</v>
      </c>
      <c r="F441" t="str">
        <f t="shared" si="26"/>
        <v>Cambridge</v>
      </c>
      <c r="G441" t="s">
        <v>25</v>
      </c>
      <c r="H441" t="s">
        <v>45</v>
      </c>
      <c r="I441">
        <v>90</v>
      </c>
      <c r="J441">
        <v>179</v>
      </c>
      <c r="K441">
        <v>134.5</v>
      </c>
      <c r="L441" t="str">
        <f t="shared" si="27"/>
        <v>$125–150K</v>
      </c>
      <c r="M441">
        <v>8</v>
      </c>
    </row>
    <row r="442" spans="1:13">
      <c r="A442" t="s">
        <v>7</v>
      </c>
      <c r="B442" t="str">
        <f t="shared" si="24"/>
        <v>Mid-Level</v>
      </c>
      <c r="C442" t="str">
        <f t="shared" si="25"/>
        <v>Data Scientist</v>
      </c>
      <c r="D442">
        <v>3.3</v>
      </c>
      <c r="E442" t="s">
        <v>34</v>
      </c>
      <c r="F442" t="str">
        <f t="shared" si="26"/>
        <v>San Francisco</v>
      </c>
      <c r="G442" t="s">
        <v>25</v>
      </c>
      <c r="H442" t="s">
        <v>23</v>
      </c>
      <c r="I442">
        <v>127</v>
      </c>
      <c r="J442">
        <v>202</v>
      </c>
      <c r="K442">
        <v>164.5</v>
      </c>
      <c r="L442" t="str">
        <f t="shared" si="27"/>
        <v>&gt;$150K</v>
      </c>
      <c r="M442">
        <v>13</v>
      </c>
    </row>
    <row r="443" spans="1:13">
      <c r="A443" t="s">
        <v>260</v>
      </c>
      <c r="B443" t="str">
        <f t="shared" si="24"/>
        <v>Mid-Level</v>
      </c>
      <c r="C443" t="str">
        <f t="shared" si="25"/>
        <v>Data Scientist</v>
      </c>
      <c r="D443">
        <v>4</v>
      </c>
      <c r="E443" t="s">
        <v>261</v>
      </c>
      <c r="F443" t="str">
        <f t="shared" si="26"/>
        <v>Annapolis Junction</v>
      </c>
      <c r="G443" t="s">
        <v>22</v>
      </c>
      <c r="H443" t="s">
        <v>76</v>
      </c>
      <c r="I443">
        <v>60</v>
      </c>
      <c r="J443">
        <v>127</v>
      </c>
      <c r="K443">
        <v>93.5</v>
      </c>
      <c r="L443" t="str">
        <f t="shared" si="27"/>
        <v>$75–100K</v>
      </c>
      <c r="M443">
        <v>19</v>
      </c>
    </row>
    <row r="444" spans="1:13">
      <c r="A444" t="s">
        <v>346</v>
      </c>
      <c r="B444" t="str">
        <f t="shared" si="24"/>
        <v>Mid-Level</v>
      </c>
      <c r="C444" t="str">
        <f t="shared" si="25"/>
        <v>Data Analyst</v>
      </c>
      <c r="D444">
        <v>3.4</v>
      </c>
      <c r="E444" t="s">
        <v>347</v>
      </c>
      <c r="F444" t="str">
        <f t="shared" si="26"/>
        <v>West Palm Beach</v>
      </c>
      <c r="G444" t="s">
        <v>25</v>
      </c>
      <c r="H444" t="s">
        <v>348</v>
      </c>
      <c r="I444">
        <v>31</v>
      </c>
      <c r="J444">
        <v>57</v>
      </c>
      <c r="K444">
        <v>44</v>
      </c>
      <c r="L444" t="str">
        <f t="shared" si="27"/>
        <v>&lt;$50K</v>
      </c>
      <c r="M444">
        <v>30</v>
      </c>
    </row>
    <row r="445" spans="1:13">
      <c r="A445" t="s">
        <v>349</v>
      </c>
      <c r="B445" t="str">
        <f t="shared" si="24"/>
        <v>Mid-Level</v>
      </c>
      <c r="C445" t="str">
        <f t="shared" si="25"/>
        <v>Data Engineer</v>
      </c>
      <c r="D445">
        <v>3.8</v>
      </c>
      <c r="E445" t="s">
        <v>307</v>
      </c>
      <c r="F445" t="str">
        <f t="shared" si="26"/>
        <v>Austin</v>
      </c>
      <c r="G445" t="s">
        <v>9</v>
      </c>
      <c r="H445" t="s">
        <v>76</v>
      </c>
      <c r="I445">
        <v>105</v>
      </c>
      <c r="J445">
        <v>194</v>
      </c>
      <c r="K445">
        <v>149.5</v>
      </c>
      <c r="L445" t="str">
        <f t="shared" si="27"/>
        <v>$125–150K</v>
      </c>
      <c r="M445">
        <v>11</v>
      </c>
    </row>
    <row r="446" spans="1:13">
      <c r="A446" t="s">
        <v>350</v>
      </c>
      <c r="B446" t="str">
        <f t="shared" si="24"/>
        <v>Junior</v>
      </c>
      <c r="C446" t="str">
        <f t="shared" si="25"/>
        <v>Data Engineer</v>
      </c>
      <c r="D446">
        <v>3.5</v>
      </c>
      <c r="E446" t="s">
        <v>87</v>
      </c>
      <c r="F446" t="str">
        <f t="shared" si="26"/>
        <v>Washington</v>
      </c>
      <c r="G446" t="s">
        <v>19</v>
      </c>
      <c r="H446" t="s">
        <v>39</v>
      </c>
      <c r="I446">
        <v>45</v>
      </c>
      <c r="J446">
        <v>86</v>
      </c>
      <c r="K446">
        <v>65.5</v>
      </c>
      <c r="L446" t="str">
        <f t="shared" si="27"/>
        <v>$50–75K</v>
      </c>
      <c r="M446">
        <v>14</v>
      </c>
    </row>
    <row r="447" spans="1:13">
      <c r="A447" t="s">
        <v>80</v>
      </c>
      <c r="B447" t="str">
        <f t="shared" si="24"/>
        <v>Mid-Level</v>
      </c>
      <c r="C447" t="str">
        <f t="shared" si="25"/>
        <v>Data Engineer</v>
      </c>
      <c r="D447">
        <v>4.4000000000000004</v>
      </c>
      <c r="E447" t="s">
        <v>37</v>
      </c>
      <c r="F447" t="str">
        <f t="shared" si="26"/>
        <v>Herndon</v>
      </c>
      <c r="G447" s="1">
        <v>18264</v>
      </c>
      <c r="H447" t="s">
        <v>52</v>
      </c>
      <c r="I447">
        <v>75</v>
      </c>
      <c r="J447">
        <v>143</v>
      </c>
      <c r="K447">
        <v>109</v>
      </c>
      <c r="L447" t="str">
        <f t="shared" si="27"/>
        <v>$100–125K</v>
      </c>
      <c r="M447">
        <v>6</v>
      </c>
    </row>
    <row r="448" spans="1:13">
      <c r="A448" t="s">
        <v>349</v>
      </c>
      <c r="B448" t="str">
        <f t="shared" si="24"/>
        <v>Mid-Level</v>
      </c>
      <c r="C448" t="str">
        <f t="shared" si="25"/>
        <v>Data Engineer</v>
      </c>
      <c r="D448">
        <v>3.7</v>
      </c>
      <c r="E448" t="s">
        <v>51</v>
      </c>
      <c r="F448" t="str">
        <f t="shared" si="26"/>
        <v>Mountain View</v>
      </c>
      <c r="G448" t="s">
        <v>19</v>
      </c>
      <c r="H448" t="s">
        <v>76</v>
      </c>
      <c r="I448">
        <v>126</v>
      </c>
      <c r="J448">
        <v>228</v>
      </c>
      <c r="K448">
        <v>177</v>
      </c>
      <c r="L448" t="str">
        <f t="shared" si="27"/>
        <v>&gt;$150K</v>
      </c>
      <c r="M448">
        <v>33</v>
      </c>
    </row>
    <row r="449" spans="1:13">
      <c r="A449" t="s">
        <v>7</v>
      </c>
      <c r="B449" t="str">
        <f t="shared" si="24"/>
        <v>Mid-Level</v>
      </c>
      <c r="C449" t="str">
        <f t="shared" si="25"/>
        <v>Data Scientist</v>
      </c>
      <c r="D449">
        <v>4.7</v>
      </c>
      <c r="E449" t="s">
        <v>140</v>
      </c>
      <c r="F449" t="str">
        <f t="shared" si="26"/>
        <v>Arlington</v>
      </c>
      <c r="G449" t="s">
        <v>25</v>
      </c>
      <c r="H449" t="s">
        <v>10</v>
      </c>
      <c r="I449">
        <v>80</v>
      </c>
      <c r="J449">
        <v>134</v>
      </c>
      <c r="K449">
        <v>107</v>
      </c>
      <c r="L449" t="str">
        <f t="shared" si="27"/>
        <v>$100–125K</v>
      </c>
      <c r="M449">
        <v>11</v>
      </c>
    </row>
    <row r="450" spans="1:13">
      <c r="A450" t="s">
        <v>7</v>
      </c>
      <c r="B450" t="str">
        <f t="shared" si="24"/>
        <v>Mid-Level</v>
      </c>
      <c r="C450" t="str">
        <f t="shared" si="25"/>
        <v>Data Scientist</v>
      </c>
      <c r="D450">
        <v>4.0999999999999996</v>
      </c>
      <c r="E450" t="s">
        <v>107</v>
      </c>
      <c r="F450" t="str">
        <f t="shared" si="26"/>
        <v>Santa Clara</v>
      </c>
      <c r="G450" t="s">
        <v>9</v>
      </c>
      <c r="H450" t="s">
        <v>52</v>
      </c>
      <c r="I450">
        <v>120</v>
      </c>
      <c r="J450">
        <v>189</v>
      </c>
      <c r="K450">
        <v>154.5</v>
      </c>
      <c r="L450" t="str">
        <f t="shared" si="27"/>
        <v>&gt;$150K</v>
      </c>
      <c r="M450">
        <v>9</v>
      </c>
    </row>
    <row r="451" spans="1:13">
      <c r="A451" t="s">
        <v>7</v>
      </c>
      <c r="B451" t="str">
        <f t="shared" ref="B451:B514" si="28">IF(OR(ISNUMBER(SEARCH("Senior",A451)),ISNUMBER(SEARCH("Sr",A451)),ISNUMBER(SEARCH("Lead",A451)),ISNUMBER(SEARCH("Principal",A451))),"Senior",IF(OR(ISNUMBER(SEARCH("Junior",A451)),ISNUMBER(SEARCH("Jr",A451)),ISNUMBER(SEARCH("Entry",A451)),ISNUMBER(SEARCH("Associate",A451))),"Junior",IF(OR(ISNUMBER(SEARCH("Manager",A451)),ISNUMBER(SEARCH("Director",A451)),ISNUMBER(SEARCH("Head",A451)),ISNUMBER(SEARCH("VP",A451))),"Management","Mid-Level")))</f>
        <v>Mid-Level</v>
      </c>
      <c r="C451" t="str">
        <f t="shared" ref="C451:C514" si="29">IF(ISNUMBER(SEARCH("Machine Learn",A451)),"ML Engineer",IF(ISNUMBER(SEARCH("Data Engineer",A451)),"Data Engineer",IF(ISNUMBER(SEARCH("Data Analyst",A451)),"Data Analyst",IF(ISNUMBER(SEARCH("Business Analyst",A451)),"Business Analyst",IF(ISNUMBER(SEARCH("Research",A451)),"Research Scientist",IF(ISNUMBER(SEARCH("Manager",A451)),"DS Manager",IF(ISNUMBER(SEARCH("Director",A451)),"Director/VP","Data Scientist")))))))</f>
        <v>Data Scientist</v>
      </c>
      <c r="D451">
        <v>4</v>
      </c>
      <c r="E451" t="s">
        <v>107</v>
      </c>
      <c r="F451" t="str">
        <f t="shared" ref="F451:F514" si="30">IFERROR(LEFT(E451, FIND(",", E451)-1), E451)</f>
        <v>Santa Clara</v>
      </c>
      <c r="G451" s="1">
        <v>18264</v>
      </c>
      <c r="H451" t="s">
        <v>450</v>
      </c>
      <c r="I451">
        <v>85</v>
      </c>
      <c r="J451">
        <v>142</v>
      </c>
      <c r="K451">
        <v>113.5</v>
      </c>
      <c r="L451" t="str">
        <f t="shared" ref="L451:L514" si="31">IF(K451&lt;50,"&lt;$50K",IF(K451&lt;75,"$50–75K",IF(K451&lt;100,"$75–100K",IF(K451&lt;125,"$100–125K",IF(K451&lt;150,"$125–150K","&gt;$150K")))))</f>
        <v>$100–125K</v>
      </c>
      <c r="M451">
        <v>-1</v>
      </c>
    </row>
    <row r="452" spans="1:13">
      <c r="A452" t="s">
        <v>78</v>
      </c>
      <c r="B452" t="str">
        <f t="shared" si="28"/>
        <v>Senior</v>
      </c>
      <c r="C452" t="str">
        <f t="shared" si="29"/>
        <v>Data Scientist</v>
      </c>
      <c r="D452">
        <v>3.5</v>
      </c>
      <c r="E452" t="s">
        <v>164</v>
      </c>
      <c r="F452" t="str">
        <f t="shared" si="30"/>
        <v>Charlotte</v>
      </c>
      <c r="G452" t="s">
        <v>19</v>
      </c>
      <c r="H452" t="s">
        <v>55</v>
      </c>
      <c r="I452">
        <v>95</v>
      </c>
      <c r="J452">
        <v>154</v>
      </c>
      <c r="K452">
        <v>124.5</v>
      </c>
      <c r="L452" t="str">
        <f t="shared" si="31"/>
        <v>$100–125K</v>
      </c>
      <c r="M452">
        <v>4</v>
      </c>
    </row>
    <row r="453" spans="1:13">
      <c r="A453" t="s">
        <v>7</v>
      </c>
      <c r="B453" t="str">
        <f t="shared" si="28"/>
        <v>Mid-Level</v>
      </c>
      <c r="C453" t="str">
        <f t="shared" si="29"/>
        <v>Data Scientist</v>
      </c>
      <c r="D453">
        <v>2.5</v>
      </c>
      <c r="E453" t="s">
        <v>451</v>
      </c>
      <c r="F453" t="str">
        <f t="shared" si="30"/>
        <v>Brisbane</v>
      </c>
      <c r="G453" s="1">
        <v>18264</v>
      </c>
      <c r="H453" t="s">
        <v>45</v>
      </c>
      <c r="I453">
        <v>111</v>
      </c>
      <c r="J453">
        <v>176</v>
      </c>
      <c r="K453">
        <v>143.5</v>
      </c>
      <c r="L453" t="str">
        <f t="shared" si="31"/>
        <v>$125–150K</v>
      </c>
      <c r="M453">
        <v>-1</v>
      </c>
    </row>
    <row r="454" spans="1:13">
      <c r="A454" t="s">
        <v>7</v>
      </c>
      <c r="B454" t="str">
        <f t="shared" si="28"/>
        <v>Mid-Level</v>
      </c>
      <c r="C454" t="str">
        <f t="shared" si="29"/>
        <v>Data Scientist</v>
      </c>
      <c r="D454">
        <v>3.9</v>
      </c>
      <c r="E454" t="s">
        <v>34</v>
      </c>
      <c r="F454" t="str">
        <f t="shared" si="30"/>
        <v>San Francisco</v>
      </c>
      <c r="G454" s="1">
        <v>18264</v>
      </c>
      <c r="H454" t="s">
        <v>74</v>
      </c>
      <c r="I454">
        <v>87</v>
      </c>
      <c r="J454">
        <v>140</v>
      </c>
      <c r="K454">
        <v>113.5</v>
      </c>
      <c r="L454" t="str">
        <f t="shared" si="31"/>
        <v>$100–125K</v>
      </c>
      <c r="M454">
        <v>-1</v>
      </c>
    </row>
    <row r="455" spans="1:13">
      <c r="A455" t="s">
        <v>7</v>
      </c>
      <c r="B455" t="str">
        <f t="shared" si="28"/>
        <v>Mid-Level</v>
      </c>
      <c r="C455" t="str">
        <f t="shared" si="29"/>
        <v>Data Scientist</v>
      </c>
      <c r="D455">
        <v>3.4</v>
      </c>
      <c r="E455" t="s">
        <v>443</v>
      </c>
      <c r="F455" t="str">
        <f t="shared" si="30"/>
        <v>Springfield</v>
      </c>
      <c r="G455" t="s">
        <v>14</v>
      </c>
      <c r="H455" t="s">
        <v>10</v>
      </c>
      <c r="I455">
        <v>76</v>
      </c>
      <c r="J455">
        <v>127</v>
      </c>
      <c r="K455">
        <v>101.5</v>
      </c>
      <c r="L455" t="str">
        <f t="shared" si="31"/>
        <v>$100–125K</v>
      </c>
      <c r="M455">
        <v>52</v>
      </c>
    </row>
    <row r="456" spans="1:13">
      <c r="A456" t="s">
        <v>452</v>
      </c>
      <c r="B456" t="str">
        <f t="shared" si="28"/>
        <v>Mid-Level</v>
      </c>
      <c r="C456" t="str">
        <f t="shared" si="29"/>
        <v>Data Analyst</v>
      </c>
      <c r="D456">
        <v>3.6</v>
      </c>
      <c r="E456" t="s">
        <v>21</v>
      </c>
      <c r="F456" t="str">
        <f t="shared" si="30"/>
        <v>New York</v>
      </c>
      <c r="G456" t="s">
        <v>14</v>
      </c>
      <c r="H456" t="s">
        <v>453</v>
      </c>
      <c r="I456">
        <v>54</v>
      </c>
      <c r="J456">
        <v>92</v>
      </c>
      <c r="K456">
        <v>73</v>
      </c>
      <c r="L456" t="str">
        <f t="shared" si="31"/>
        <v>$50–75K</v>
      </c>
      <c r="M456">
        <v>86</v>
      </c>
    </row>
    <row r="457" spans="1:13">
      <c r="A457" t="s">
        <v>7</v>
      </c>
      <c r="B457" t="str">
        <f t="shared" si="28"/>
        <v>Mid-Level</v>
      </c>
      <c r="C457" t="str">
        <f t="shared" si="29"/>
        <v>Data Scientist</v>
      </c>
      <c r="D457">
        <v>3.5</v>
      </c>
      <c r="E457" t="s">
        <v>21</v>
      </c>
      <c r="F457" t="str">
        <f t="shared" si="30"/>
        <v>New York</v>
      </c>
      <c r="G457" t="s">
        <v>14</v>
      </c>
      <c r="H457" t="s">
        <v>30</v>
      </c>
      <c r="I457">
        <v>61</v>
      </c>
      <c r="J457">
        <v>100</v>
      </c>
      <c r="K457">
        <v>80.5</v>
      </c>
      <c r="L457" t="str">
        <f t="shared" si="31"/>
        <v>$75–100K</v>
      </c>
      <c r="M457">
        <v>5</v>
      </c>
    </row>
    <row r="458" spans="1:13">
      <c r="A458" t="s">
        <v>7</v>
      </c>
      <c r="B458" t="str">
        <f t="shared" si="28"/>
        <v>Mid-Level</v>
      </c>
      <c r="C458" t="str">
        <f t="shared" si="29"/>
        <v>Data Scientist</v>
      </c>
      <c r="D458">
        <v>-1</v>
      </c>
      <c r="E458" t="s">
        <v>21</v>
      </c>
      <c r="F458" t="str">
        <f t="shared" si="30"/>
        <v>New York</v>
      </c>
      <c r="G458" t="s">
        <v>89</v>
      </c>
      <c r="H458">
        <v>-1</v>
      </c>
      <c r="I458">
        <v>81</v>
      </c>
      <c r="J458">
        <v>140</v>
      </c>
      <c r="K458">
        <v>110.5</v>
      </c>
      <c r="L458" t="str">
        <f t="shared" si="31"/>
        <v>$100–125K</v>
      </c>
      <c r="M458">
        <v>-1</v>
      </c>
    </row>
    <row r="459" spans="1:13">
      <c r="A459" t="s">
        <v>351</v>
      </c>
      <c r="B459" t="str">
        <f t="shared" si="28"/>
        <v>Mid-Level</v>
      </c>
      <c r="C459" t="str">
        <f t="shared" si="29"/>
        <v>Data Engineer</v>
      </c>
      <c r="D459">
        <v>2.9</v>
      </c>
      <c r="E459" t="s">
        <v>28</v>
      </c>
      <c r="F459" t="str">
        <f t="shared" si="30"/>
        <v>San Jose</v>
      </c>
      <c r="G459" t="s">
        <v>22</v>
      </c>
      <c r="H459" t="s">
        <v>23</v>
      </c>
      <c r="I459">
        <v>80</v>
      </c>
      <c r="J459">
        <v>148</v>
      </c>
      <c r="K459">
        <v>114</v>
      </c>
      <c r="L459" t="str">
        <f t="shared" si="31"/>
        <v>$100–125K</v>
      </c>
      <c r="M459">
        <v>23</v>
      </c>
    </row>
    <row r="460" spans="1:13">
      <c r="A460" t="s">
        <v>7</v>
      </c>
      <c r="B460" t="str">
        <f t="shared" si="28"/>
        <v>Mid-Level</v>
      </c>
      <c r="C460" t="str">
        <f t="shared" si="29"/>
        <v>Data Scientist</v>
      </c>
      <c r="D460">
        <v>3.5</v>
      </c>
      <c r="E460" t="s">
        <v>92</v>
      </c>
      <c r="F460" t="str">
        <f t="shared" si="30"/>
        <v>Foster City</v>
      </c>
      <c r="G460" t="s">
        <v>22</v>
      </c>
      <c r="H460" t="s">
        <v>454</v>
      </c>
      <c r="I460">
        <v>108</v>
      </c>
      <c r="J460">
        <v>171</v>
      </c>
      <c r="K460">
        <v>139.5</v>
      </c>
      <c r="L460" t="str">
        <f t="shared" si="31"/>
        <v>$125–150K</v>
      </c>
      <c r="M460">
        <v>-1</v>
      </c>
    </row>
    <row r="461" spans="1:13">
      <c r="A461" t="s">
        <v>7</v>
      </c>
      <c r="B461" t="str">
        <f t="shared" si="28"/>
        <v>Mid-Level</v>
      </c>
      <c r="C461" t="str">
        <f t="shared" si="29"/>
        <v>Data Scientist</v>
      </c>
      <c r="D461">
        <v>4.8</v>
      </c>
      <c r="E461" t="s">
        <v>21</v>
      </c>
      <c r="F461" t="str">
        <f t="shared" si="30"/>
        <v>New York</v>
      </c>
      <c r="G461" s="1">
        <v>18264</v>
      </c>
      <c r="H461" t="s">
        <v>74</v>
      </c>
      <c r="I461">
        <v>112</v>
      </c>
      <c r="J461">
        <v>179</v>
      </c>
      <c r="K461">
        <v>145.5</v>
      </c>
      <c r="L461" t="str">
        <f t="shared" si="31"/>
        <v>$125–150K</v>
      </c>
      <c r="M461">
        <v>10</v>
      </c>
    </row>
    <row r="462" spans="1:13">
      <c r="A462" t="s">
        <v>7</v>
      </c>
      <c r="B462" t="str">
        <f t="shared" si="28"/>
        <v>Mid-Level</v>
      </c>
      <c r="C462" t="str">
        <f t="shared" si="29"/>
        <v>Data Scientist</v>
      </c>
      <c r="D462">
        <v>4</v>
      </c>
      <c r="E462" t="s">
        <v>21</v>
      </c>
      <c r="F462" t="str">
        <f t="shared" si="30"/>
        <v>New York</v>
      </c>
      <c r="G462" t="s">
        <v>25</v>
      </c>
      <c r="H462" t="s">
        <v>250</v>
      </c>
      <c r="I462">
        <v>63</v>
      </c>
      <c r="J462">
        <v>111</v>
      </c>
      <c r="K462">
        <v>87</v>
      </c>
      <c r="L462" t="str">
        <f t="shared" si="31"/>
        <v>$75–100K</v>
      </c>
      <c r="M462">
        <v>14</v>
      </c>
    </row>
    <row r="463" spans="1:13">
      <c r="A463" t="s">
        <v>7</v>
      </c>
      <c r="B463" t="str">
        <f t="shared" si="28"/>
        <v>Mid-Level</v>
      </c>
      <c r="C463" t="str">
        <f t="shared" si="29"/>
        <v>Data Scientist</v>
      </c>
      <c r="D463">
        <v>4.2</v>
      </c>
      <c r="E463" t="s">
        <v>455</v>
      </c>
      <c r="F463" t="str">
        <f t="shared" si="30"/>
        <v>Holyoke</v>
      </c>
      <c r="G463" t="s">
        <v>25</v>
      </c>
      <c r="H463" t="s">
        <v>27</v>
      </c>
      <c r="I463">
        <v>75</v>
      </c>
      <c r="J463">
        <v>126</v>
      </c>
      <c r="K463">
        <v>100.5</v>
      </c>
      <c r="L463" t="str">
        <f t="shared" si="31"/>
        <v>$100–125K</v>
      </c>
      <c r="M463">
        <v>136</v>
      </c>
    </row>
    <row r="464" spans="1:13">
      <c r="A464" t="s">
        <v>456</v>
      </c>
      <c r="B464" t="str">
        <f t="shared" si="28"/>
        <v>Management</v>
      </c>
      <c r="C464" t="str">
        <f t="shared" si="29"/>
        <v>DS Manager</v>
      </c>
      <c r="D464">
        <v>3.8</v>
      </c>
      <c r="E464" t="s">
        <v>21</v>
      </c>
      <c r="F464" t="str">
        <f t="shared" si="30"/>
        <v>New York</v>
      </c>
      <c r="G464" t="s">
        <v>14</v>
      </c>
      <c r="H464" t="s">
        <v>52</v>
      </c>
      <c r="I464">
        <v>110</v>
      </c>
      <c r="J464">
        <v>184</v>
      </c>
      <c r="K464">
        <v>147</v>
      </c>
      <c r="L464" t="str">
        <f t="shared" si="31"/>
        <v>$125–150K</v>
      </c>
      <c r="M464">
        <v>54</v>
      </c>
    </row>
    <row r="465" spans="1:13">
      <c r="A465" t="s">
        <v>80</v>
      </c>
      <c r="B465" t="str">
        <f t="shared" si="28"/>
        <v>Mid-Level</v>
      </c>
      <c r="C465" t="str">
        <f t="shared" si="29"/>
        <v>Data Engineer</v>
      </c>
      <c r="D465">
        <v>3.7</v>
      </c>
      <c r="E465" t="s">
        <v>21</v>
      </c>
      <c r="F465" t="str">
        <f t="shared" si="30"/>
        <v>New York</v>
      </c>
      <c r="G465" t="s">
        <v>25</v>
      </c>
      <c r="H465" t="s">
        <v>55</v>
      </c>
      <c r="I465">
        <v>76</v>
      </c>
      <c r="J465">
        <v>145</v>
      </c>
      <c r="K465">
        <v>110.5</v>
      </c>
      <c r="L465" t="str">
        <f t="shared" si="31"/>
        <v>$100–125K</v>
      </c>
      <c r="M465">
        <v>107</v>
      </c>
    </row>
    <row r="466" spans="1:13">
      <c r="A466" t="s">
        <v>266</v>
      </c>
      <c r="B466" t="str">
        <f t="shared" si="28"/>
        <v>Mid-Level</v>
      </c>
      <c r="C466" t="str">
        <f t="shared" si="29"/>
        <v>Data Analyst</v>
      </c>
      <c r="D466">
        <v>3.9</v>
      </c>
      <c r="E466" t="s">
        <v>352</v>
      </c>
      <c r="F466" t="str">
        <f t="shared" si="30"/>
        <v>Exton</v>
      </c>
      <c r="G466" t="s">
        <v>9</v>
      </c>
      <c r="H466" t="s">
        <v>27</v>
      </c>
      <c r="I466">
        <v>36</v>
      </c>
      <c r="J466">
        <v>62</v>
      </c>
      <c r="K466">
        <v>49</v>
      </c>
      <c r="L466" t="str">
        <f t="shared" si="31"/>
        <v>&lt;$50K</v>
      </c>
      <c r="M466">
        <v>84</v>
      </c>
    </row>
    <row r="467" spans="1:13">
      <c r="A467" t="s">
        <v>7</v>
      </c>
      <c r="B467" t="str">
        <f t="shared" si="28"/>
        <v>Mid-Level</v>
      </c>
      <c r="C467" t="str">
        <f t="shared" si="29"/>
        <v>Data Scientist</v>
      </c>
      <c r="D467">
        <v>4.5999999999999996</v>
      </c>
      <c r="E467" t="s">
        <v>329</v>
      </c>
      <c r="F467" t="str">
        <f t="shared" si="30"/>
        <v>Waltham</v>
      </c>
      <c r="G467" t="s">
        <v>22</v>
      </c>
      <c r="H467" t="s">
        <v>30</v>
      </c>
      <c r="I467">
        <v>70</v>
      </c>
      <c r="J467">
        <v>118</v>
      </c>
      <c r="K467">
        <v>94</v>
      </c>
      <c r="L467" t="str">
        <f t="shared" si="31"/>
        <v>$75–100K</v>
      </c>
      <c r="M467">
        <v>-1</v>
      </c>
    </row>
    <row r="468" spans="1:13">
      <c r="A468" t="s">
        <v>78</v>
      </c>
      <c r="B468" t="str">
        <f t="shared" si="28"/>
        <v>Senior</v>
      </c>
      <c r="C468" t="str">
        <f t="shared" si="29"/>
        <v>Data Scientist</v>
      </c>
      <c r="D468">
        <v>4.3</v>
      </c>
      <c r="E468" t="s">
        <v>21</v>
      </c>
      <c r="F468" t="str">
        <f t="shared" si="30"/>
        <v>New York</v>
      </c>
      <c r="G468" t="s">
        <v>19</v>
      </c>
      <c r="H468" t="s">
        <v>52</v>
      </c>
      <c r="I468">
        <v>94</v>
      </c>
      <c r="J468">
        <v>153</v>
      </c>
      <c r="K468">
        <v>123.5</v>
      </c>
      <c r="L468" t="str">
        <f t="shared" si="31"/>
        <v>$100–125K</v>
      </c>
      <c r="M468">
        <v>22</v>
      </c>
    </row>
    <row r="469" spans="1:13">
      <c r="A469" t="s">
        <v>264</v>
      </c>
      <c r="B469" t="str">
        <f t="shared" si="28"/>
        <v>Senior</v>
      </c>
      <c r="C469" t="str">
        <f t="shared" si="29"/>
        <v>Data Scientist</v>
      </c>
      <c r="D469">
        <v>3.3</v>
      </c>
      <c r="E469" t="s">
        <v>32</v>
      </c>
      <c r="F469" t="str">
        <f t="shared" si="30"/>
        <v>Rochester</v>
      </c>
      <c r="G469" t="s">
        <v>14</v>
      </c>
      <c r="H469" t="s">
        <v>15</v>
      </c>
      <c r="I469">
        <v>54</v>
      </c>
      <c r="J469">
        <v>115</v>
      </c>
      <c r="K469">
        <v>84.5</v>
      </c>
      <c r="L469" t="str">
        <f t="shared" si="31"/>
        <v>$75–100K</v>
      </c>
      <c r="M469">
        <v>7</v>
      </c>
    </row>
    <row r="470" spans="1:13">
      <c r="A470" t="s">
        <v>43</v>
      </c>
      <c r="B470" t="str">
        <f t="shared" si="28"/>
        <v>Mid-Level</v>
      </c>
      <c r="C470" t="str">
        <f t="shared" si="29"/>
        <v>Data Analyst</v>
      </c>
      <c r="D470">
        <v>3.7</v>
      </c>
      <c r="E470" t="s">
        <v>88</v>
      </c>
      <c r="F470" t="str">
        <f t="shared" si="30"/>
        <v>Alexandria</v>
      </c>
      <c r="G470" t="s">
        <v>9</v>
      </c>
      <c r="H470" t="s">
        <v>74</v>
      </c>
      <c r="I470">
        <v>50</v>
      </c>
      <c r="J470">
        <v>92</v>
      </c>
      <c r="K470">
        <v>71</v>
      </c>
      <c r="L470" t="str">
        <f t="shared" si="31"/>
        <v>$50–75K</v>
      </c>
      <c r="M470">
        <v>32</v>
      </c>
    </row>
    <row r="471" spans="1:13">
      <c r="A471" t="s">
        <v>457</v>
      </c>
      <c r="B471" t="str">
        <f t="shared" si="28"/>
        <v>Mid-Level</v>
      </c>
      <c r="C471" t="str">
        <f t="shared" si="29"/>
        <v>Data Engineer</v>
      </c>
      <c r="D471">
        <v>4</v>
      </c>
      <c r="E471" t="s">
        <v>458</v>
      </c>
      <c r="F471" t="str">
        <f t="shared" si="30"/>
        <v>Corvallis</v>
      </c>
      <c r="G471" t="s">
        <v>14</v>
      </c>
      <c r="H471" t="s">
        <v>76</v>
      </c>
      <c r="I471">
        <v>49</v>
      </c>
      <c r="J471">
        <v>97</v>
      </c>
      <c r="K471">
        <v>73</v>
      </c>
      <c r="L471" t="str">
        <f t="shared" si="31"/>
        <v>$50–75K</v>
      </c>
      <c r="M471">
        <v>82</v>
      </c>
    </row>
    <row r="472" spans="1:13">
      <c r="A472" t="s">
        <v>353</v>
      </c>
      <c r="B472" t="str">
        <f t="shared" si="28"/>
        <v>Management</v>
      </c>
      <c r="C472" t="str">
        <f t="shared" si="29"/>
        <v>Director/VP</v>
      </c>
      <c r="D472">
        <v>3.6</v>
      </c>
      <c r="E472" t="s">
        <v>102</v>
      </c>
      <c r="F472" t="str">
        <f t="shared" si="30"/>
        <v>Boston</v>
      </c>
      <c r="G472" t="s">
        <v>38</v>
      </c>
      <c r="H472" t="s">
        <v>55</v>
      </c>
      <c r="I472">
        <v>67</v>
      </c>
      <c r="J472">
        <v>135</v>
      </c>
      <c r="K472">
        <v>101</v>
      </c>
      <c r="L472" t="str">
        <f t="shared" si="31"/>
        <v>$100–125K</v>
      </c>
      <c r="M472">
        <v>170</v>
      </c>
    </row>
    <row r="473" spans="1:13">
      <c r="A473" t="s">
        <v>263</v>
      </c>
      <c r="B473" t="str">
        <f t="shared" si="28"/>
        <v>Mid-Level</v>
      </c>
      <c r="C473" t="str">
        <f t="shared" si="29"/>
        <v>ML Engineer</v>
      </c>
      <c r="D473">
        <v>3.9</v>
      </c>
      <c r="E473" t="s">
        <v>34</v>
      </c>
      <c r="F473" t="str">
        <f t="shared" si="30"/>
        <v>San Francisco</v>
      </c>
      <c r="G473" t="s">
        <v>25</v>
      </c>
      <c r="H473" t="s">
        <v>33</v>
      </c>
      <c r="I473">
        <v>138</v>
      </c>
      <c r="J473">
        <v>224</v>
      </c>
      <c r="K473">
        <v>181</v>
      </c>
      <c r="L473" t="str">
        <f t="shared" si="31"/>
        <v>&gt;$150K</v>
      </c>
      <c r="M473">
        <v>14</v>
      </c>
    </row>
    <row r="474" spans="1:13">
      <c r="A474" t="s">
        <v>7</v>
      </c>
      <c r="B474" t="str">
        <f t="shared" si="28"/>
        <v>Mid-Level</v>
      </c>
      <c r="C474" t="str">
        <f t="shared" si="29"/>
        <v>Data Scientist</v>
      </c>
      <c r="D474">
        <v>3.7</v>
      </c>
      <c r="E474" t="s">
        <v>106</v>
      </c>
      <c r="F474" t="str">
        <f t="shared" si="30"/>
        <v>San Diego</v>
      </c>
      <c r="G474" t="s">
        <v>14</v>
      </c>
      <c r="H474" t="s">
        <v>10</v>
      </c>
      <c r="I474">
        <v>80</v>
      </c>
      <c r="J474">
        <v>139</v>
      </c>
      <c r="K474">
        <v>109.5</v>
      </c>
      <c r="L474" t="str">
        <f t="shared" si="31"/>
        <v>$100–125K</v>
      </c>
      <c r="M474">
        <v>82</v>
      </c>
    </row>
    <row r="475" spans="1:13">
      <c r="A475" t="s">
        <v>90</v>
      </c>
      <c r="B475" t="str">
        <f t="shared" si="28"/>
        <v>Senior</v>
      </c>
      <c r="C475" t="str">
        <f t="shared" si="29"/>
        <v>Data Scientist</v>
      </c>
      <c r="D475">
        <v>3.7</v>
      </c>
      <c r="E475" t="s">
        <v>91</v>
      </c>
      <c r="F475" t="str">
        <f t="shared" si="30"/>
        <v>Bellevue</v>
      </c>
      <c r="G475" t="s">
        <v>14</v>
      </c>
      <c r="H475" t="s">
        <v>74</v>
      </c>
      <c r="I475">
        <v>158</v>
      </c>
      <c r="J475">
        <v>211</v>
      </c>
      <c r="K475">
        <v>184.5</v>
      </c>
      <c r="L475" t="str">
        <f t="shared" si="31"/>
        <v>&gt;$150K</v>
      </c>
      <c r="M475">
        <v>63</v>
      </c>
    </row>
    <row r="476" spans="1:13">
      <c r="A476" t="s">
        <v>459</v>
      </c>
      <c r="B476" t="str">
        <f t="shared" si="28"/>
        <v>Senior</v>
      </c>
      <c r="C476" t="str">
        <f t="shared" si="29"/>
        <v>Data Scientist</v>
      </c>
      <c r="D476">
        <v>3.9</v>
      </c>
      <c r="E476" t="s">
        <v>21</v>
      </c>
      <c r="F476" t="str">
        <f t="shared" si="30"/>
        <v>New York</v>
      </c>
      <c r="G476" t="s">
        <v>25</v>
      </c>
      <c r="H476" t="s">
        <v>52</v>
      </c>
      <c r="I476">
        <v>150</v>
      </c>
      <c r="J476">
        <v>180</v>
      </c>
      <c r="K476">
        <v>165</v>
      </c>
      <c r="L476" t="str">
        <f t="shared" si="31"/>
        <v>&gt;$150K</v>
      </c>
      <c r="M476">
        <v>7</v>
      </c>
    </row>
    <row r="477" spans="1:13">
      <c r="A477" t="s">
        <v>323</v>
      </c>
      <c r="B477" t="str">
        <f t="shared" si="28"/>
        <v>Mid-Level</v>
      </c>
      <c r="C477" t="str">
        <f t="shared" si="29"/>
        <v>Data Analyst</v>
      </c>
      <c r="D477">
        <v>3.7</v>
      </c>
      <c r="E477" t="s">
        <v>59</v>
      </c>
      <c r="F477" t="str">
        <f t="shared" si="30"/>
        <v>Chicago</v>
      </c>
      <c r="G477" t="s">
        <v>14</v>
      </c>
      <c r="H477" t="s">
        <v>76</v>
      </c>
      <c r="I477">
        <v>42</v>
      </c>
      <c r="J477">
        <v>80</v>
      </c>
      <c r="K477">
        <v>61</v>
      </c>
      <c r="L477" t="str">
        <f t="shared" si="31"/>
        <v>$50–75K</v>
      </c>
      <c r="M477">
        <v>93</v>
      </c>
    </row>
    <row r="478" spans="1:13">
      <c r="A478" t="s">
        <v>265</v>
      </c>
      <c r="B478" t="str">
        <f t="shared" si="28"/>
        <v>Senior</v>
      </c>
      <c r="C478" t="str">
        <f t="shared" si="29"/>
        <v>Data Engineer</v>
      </c>
      <c r="D478">
        <v>4.0999999999999996</v>
      </c>
      <c r="E478" t="s">
        <v>51</v>
      </c>
      <c r="F478" t="str">
        <f t="shared" si="30"/>
        <v>Mountain View</v>
      </c>
      <c r="G478" t="s">
        <v>22</v>
      </c>
      <c r="H478" t="s">
        <v>33</v>
      </c>
      <c r="I478">
        <v>190</v>
      </c>
      <c r="J478">
        <v>220</v>
      </c>
      <c r="K478">
        <v>205</v>
      </c>
      <c r="L478" t="str">
        <f t="shared" si="31"/>
        <v>&gt;$150K</v>
      </c>
      <c r="M478">
        <v>11</v>
      </c>
    </row>
    <row r="479" spans="1:13">
      <c r="A479" t="s">
        <v>43</v>
      </c>
      <c r="B479" t="str">
        <f t="shared" si="28"/>
        <v>Mid-Level</v>
      </c>
      <c r="C479" t="str">
        <f t="shared" si="29"/>
        <v>Data Analyst</v>
      </c>
      <c r="D479">
        <v>3.1</v>
      </c>
      <c r="E479" t="s">
        <v>21</v>
      </c>
      <c r="F479" t="str">
        <f t="shared" si="30"/>
        <v>New York</v>
      </c>
      <c r="G479" t="s">
        <v>19</v>
      </c>
      <c r="H479" t="s">
        <v>327</v>
      </c>
      <c r="I479">
        <v>42</v>
      </c>
      <c r="J479">
        <v>77</v>
      </c>
      <c r="K479">
        <v>59.5</v>
      </c>
      <c r="L479" t="str">
        <f t="shared" si="31"/>
        <v>$50–75K</v>
      </c>
      <c r="M479">
        <v>15</v>
      </c>
    </row>
    <row r="480" spans="1:13">
      <c r="A480" t="s">
        <v>354</v>
      </c>
      <c r="B480" t="str">
        <f t="shared" si="28"/>
        <v>Mid-Level</v>
      </c>
      <c r="C480" t="str">
        <f t="shared" si="29"/>
        <v>Data Scientist</v>
      </c>
      <c r="D480">
        <v>3.1</v>
      </c>
      <c r="E480" t="s">
        <v>355</v>
      </c>
      <c r="F480" t="str">
        <f t="shared" si="30"/>
        <v>Owensboro</v>
      </c>
      <c r="G480" t="s">
        <v>38</v>
      </c>
      <c r="H480" t="s">
        <v>86</v>
      </c>
      <c r="I480">
        <v>68</v>
      </c>
      <c r="J480">
        <v>139</v>
      </c>
      <c r="K480">
        <v>103.5</v>
      </c>
      <c r="L480" t="str">
        <f t="shared" si="31"/>
        <v>$100–125K</v>
      </c>
      <c r="M480">
        <v>146</v>
      </c>
    </row>
    <row r="481" spans="1:13">
      <c r="A481" t="s">
        <v>358</v>
      </c>
      <c r="B481" t="str">
        <f t="shared" si="28"/>
        <v>Mid-Level</v>
      </c>
      <c r="C481" t="str">
        <f t="shared" si="29"/>
        <v>Data Scientist</v>
      </c>
      <c r="D481">
        <v>3</v>
      </c>
      <c r="E481" t="s">
        <v>359</v>
      </c>
      <c r="F481" t="str">
        <f t="shared" si="30"/>
        <v>Hartford</v>
      </c>
      <c r="G481" t="s">
        <v>14</v>
      </c>
      <c r="H481" t="s">
        <v>74</v>
      </c>
      <c r="I481">
        <v>54</v>
      </c>
      <c r="J481">
        <v>71</v>
      </c>
      <c r="K481">
        <v>62.5</v>
      </c>
      <c r="L481" t="str">
        <f t="shared" si="31"/>
        <v>$50–75K</v>
      </c>
      <c r="M481">
        <v>40</v>
      </c>
    </row>
    <row r="482" spans="1:13">
      <c r="A482" t="s">
        <v>357</v>
      </c>
      <c r="B482" t="str">
        <f t="shared" si="28"/>
        <v>Management</v>
      </c>
      <c r="C482" t="str">
        <f t="shared" si="29"/>
        <v>DS Manager</v>
      </c>
      <c r="D482">
        <v>3.6</v>
      </c>
      <c r="E482" t="s">
        <v>217</v>
      </c>
      <c r="F482" t="str">
        <f t="shared" si="30"/>
        <v>Springfield</v>
      </c>
      <c r="G482" t="s">
        <v>38</v>
      </c>
      <c r="H482" t="s">
        <v>55</v>
      </c>
      <c r="I482">
        <v>34</v>
      </c>
      <c r="J482">
        <v>92</v>
      </c>
      <c r="K482">
        <v>63</v>
      </c>
      <c r="L482" t="str">
        <f t="shared" si="31"/>
        <v>$50–75K</v>
      </c>
      <c r="M482">
        <v>170</v>
      </c>
    </row>
    <row r="483" spans="1:13">
      <c r="A483" t="s">
        <v>43</v>
      </c>
      <c r="B483" t="str">
        <f t="shared" si="28"/>
        <v>Mid-Level</v>
      </c>
      <c r="C483" t="str">
        <f t="shared" si="29"/>
        <v>Data Analyst</v>
      </c>
      <c r="D483">
        <v>3.6</v>
      </c>
      <c r="E483" t="s">
        <v>21</v>
      </c>
      <c r="F483" t="str">
        <f t="shared" si="30"/>
        <v>New York</v>
      </c>
      <c r="G483" s="1">
        <v>18264</v>
      </c>
      <c r="H483" t="s">
        <v>15</v>
      </c>
      <c r="I483">
        <v>47</v>
      </c>
      <c r="J483">
        <v>85</v>
      </c>
      <c r="K483">
        <v>66</v>
      </c>
      <c r="L483" t="str">
        <f t="shared" si="31"/>
        <v>$50–75K</v>
      </c>
      <c r="M483">
        <v>41</v>
      </c>
    </row>
    <row r="484" spans="1:13">
      <c r="A484" t="s">
        <v>80</v>
      </c>
      <c r="B484" t="str">
        <f t="shared" si="28"/>
        <v>Mid-Level</v>
      </c>
      <c r="C484" t="str">
        <f t="shared" si="29"/>
        <v>Data Engineer</v>
      </c>
      <c r="D484">
        <v>3.5</v>
      </c>
      <c r="E484" t="s">
        <v>360</v>
      </c>
      <c r="F484" t="str">
        <f t="shared" si="30"/>
        <v>Orange</v>
      </c>
      <c r="G484" t="s">
        <v>9</v>
      </c>
      <c r="H484" t="s">
        <v>15</v>
      </c>
      <c r="I484">
        <v>65</v>
      </c>
      <c r="J484">
        <v>124</v>
      </c>
      <c r="K484">
        <v>94.5</v>
      </c>
      <c r="L484" t="str">
        <f t="shared" si="31"/>
        <v>$75–100K</v>
      </c>
      <c r="M484">
        <v>8</v>
      </c>
    </row>
    <row r="485" spans="1:13">
      <c r="A485" t="s">
        <v>7</v>
      </c>
      <c r="B485" t="str">
        <f t="shared" si="28"/>
        <v>Mid-Level</v>
      </c>
      <c r="C485" t="str">
        <f t="shared" si="29"/>
        <v>Data Scientist</v>
      </c>
      <c r="D485">
        <v>4.2</v>
      </c>
      <c r="E485" t="s">
        <v>21</v>
      </c>
      <c r="F485" t="str">
        <f t="shared" si="30"/>
        <v>New York</v>
      </c>
      <c r="G485" t="s">
        <v>22</v>
      </c>
      <c r="H485" t="s">
        <v>163</v>
      </c>
      <c r="I485">
        <v>56</v>
      </c>
      <c r="J485">
        <v>95</v>
      </c>
      <c r="K485">
        <v>75.5</v>
      </c>
      <c r="L485" t="str">
        <f t="shared" si="31"/>
        <v>$75–100K</v>
      </c>
      <c r="M485">
        <v>9</v>
      </c>
    </row>
    <row r="486" spans="1:13">
      <c r="A486" t="s">
        <v>196</v>
      </c>
      <c r="B486" t="str">
        <f t="shared" si="28"/>
        <v>Mid-Level</v>
      </c>
      <c r="C486" t="str">
        <f t="shared" si="29"/>
        <v>ML Engineer</v>
      </c>
      <c r="D486">
        <v>4</v>
      </c>
      <c r="E486" t="s">
        <v>157</v>
      </c>
      <c r="F486" t="str">
        <f t="shared" si="30"/>
        <v>Fort Belvoir</v>
      </c>
      <c r="G486" t="s">
        <v>9</v>
      </c>
      <c r="H486" t="s">
        <v>10</v>
      </c>
      <c r="I486">
        <v>62</v>
      </c>
      <c r="J486">
        <v>112</v>
      </c>
      <c r="K486">
        <v>87</v>
      </c>
      <c r="L486" t="str">
        <f t="shared" si="31"/>
        <v>$75–100K</v>
      </c>
      <c r="M486">
        <v>67</v>
      </c>
    </row>
    <row r="487" spans="1:13">
      <c r="A487" t="s">
        <v>460</v>
      </c>
      <c r="B487" t="str">
        <f t="shared" si="28"/>
        <v>Senior</v>
      </c>
      <c r="C487" t="str">
        <f t="shared" si="29"/>
        <v>Data Scientist</v>
      </c>
      <c r="D487">
        <v>3.9</v>
      </c>
      <c r="E487" t="s">
        <v>461</v>
      </c>
      <c r="F487" t="str">
        <f t="shared" si="30"/>
        <v>Gaithersburg</v>
      </c>
      <c r="G487" t="s">
        <v>14</v>
      </c>
      <c r="H487" t="s">
        <v>45</v>
      </c>
      <c r="I487">
        <v>107</v>
      </c>
      <c r="J487">
        <v>173</v>
      </c>
      <c r="K487">
        <v>140</v>
      </c>
      <c r="L487" t="str">
        <f t="shared" si="31"/>
        <v>$125–150K</v>
      </c>
      <c r="M487">
        <v>108</v>
      </c>
    </row>
    <row r="488" spans="1:13">
      <c r="A488" t="s">
        <v>7</v>
      </c>
      <c r="B488" t="str">
        <f t="shared" si="28"/>
        <v>Mid-Level</v>
      </c>
      <c r="C488" t="str">
        <f t="shared" si="29"/>
        <v>Data Scientist</v>
      </c>
      <c r="D488">
        <v>3.7</v>
      </c>
      <c r="E488" t="s">
        <v>159</v>
      </c>
      <c r="F488" t="str">
        <f t="shared" si="30"/>
        <v>Silver Spring</v>
      </c>
      <c r="G488" t="s">
        <v>25</v>
      </c>
      <c r="H488" t="s">
        <v>74</v>
      </c>
      <c r="I488">
        <v>64</v>
      </c>
      <c r="J488">
        <v>108</v>
      </c>
      <c r="K488">
        <v>86</v>
      </c>
      <c r="L488" t="str">
        <f t="shared" si="31"/>
        <v>$75–100K</v>
      </c>
      <c r="M488">
        <v>15</v>
      </c>
    </row>
    <row r="489" spans="1:13">
      <c r="A489" t="s">
        <v>78</v>
      </c>
      <c r="B489" t="str">
        <f t="shared" si="28"/>
        <v>Senior</v>
      </c>
      <c r="C489" t="str">
        <f t="shared" si="29"/>
        <v>Data Scientist</v>
      </c>
      <c r="D489">
        <v>4.4000000000000004</v>
      </c>
      <c r="E489" t="s">
        <v>112</v>
      </c>
      <c r="F489" t="str">
        <f t="shared" si="30"/>
        <v>Palo Alto</v>
      </c>
      <c r="G489" s="1">
        <v>18264</v>
      </c>
      <c r="H489" t="s">
        <v>33</v>
      </c>
      <c r="I489">
        <v>89</v>
      </c>
      <c r="J489">
        <v>144</v>
      </c>
      <c r="K489">
        <v>116.5</v>
      </c>
      <c r="L489" t="str">
        <f t="shared" si="31"/>
        <v>$100–125K</v>
      </c>
      <c r="M489">
        <v>9</v>
      </c>
    </row>
    <row r="490" spans="1:13">
      <c r="A490" t="s">
        <v>361</v>
      </c>
      <c r="B490" t="str">
        <f t="shared" si="28"/>
        <v>Senior</v>
      </c>
      <c r="C490" t="str">
        <f t="shared" si="29"/>
        <v>Data Scientist</v>
      </c>
      <c r="D490">
        <v>3.5</v>
      </c>
      <c r="E490" t="s">
        <v>82</v>
      </c>
      <c r="F490" t="str">
        <f t="shared" si="30"/>
        <v>Marlborough</v>
      </c>
      <c r="G490" t="s">
        <v>19</v>
      </c>
      <c r="H490" t="s">
        <v>45</v>
      </c>
      <c r="I490">
        <v>109</v>
      </c>
      <c r="J490">
        <v>200</v>
      </c>
      <c r="K490">
        <v>154.5</v>
      </c>
      <c r="L490" t="str">
        <f t="shared" si="31"/>
        <v>&gt;$150K</v>
      </c>
      <c r="M490">
        <v>11</v>
      </c>
    </row>
    <row r="491" spans="1:13">
      <c r="A491" t="s">
        <v>362</v>
      </c>
      <c r="B491" t="str">
        <f t="shared" si="28"/>
        <v>Mid-Level</v>
      </c>
      <c r="C491" t="str">
        <f t="shared" si="29"/>
        <v>ML Engineer</v>
      </c>
      <c r="D491">
        <v>3.7</v>
      </c>
      <c r="E491" t="s">
        <v>363</v>
      </c>
      <c r="F491" t="str">
        <f t="shared" si="30"/>
        <v>Lenexa</v>
      </c>
      <c r="G491" t="s">
        <v>9</v>
      </c>
      <c r="H491" t="s">
        <v>364</v>
      </c>
      <c r="I491">
        <v>61</v>
      </c>
      <c r="J491">
        <v>113</v>
      </c>
      <c r="K491">
        <v>87</v>
      </c>
      <c r="L491" t="str">
        <f t="shared" si="31"/>
        <v>$75–100K</v>
      </c>
      <c r="M491">
        <v>48</v>
      </c>
    </row>
    <row r="492" spans="1:13">
      <c r="A492" t="s">
        <v>266</v>
      </c>
      <c r="B492" t="str">
        <f t="shared" si="28"/>
        <v>Mid-Level</v>
      </c>
      <c r="C492" t="str">
        <f t="shared" si="29"/>
        <v>Data Analyst</v>
      </c>
      <c r="D492">
        <v>3.6</v>
      </c>
      <c r="E492" t="s">
        <v>267</v>
      </c>
      <c r="F492" t="str">
        <f t="shared" si="30"/>
        <v>Highland</v>
      </c>
      <c r="G492" t="s">
        <v>19</v>
      </c>
      <c r="H492" t="s">
        <v>268</v>
      </c>
      <c r="I492">
        <v>35</v>
      </c>
      <c r="J492">
        <v>62</v>
      </c>
      <c r="K492">
        <v>48.5</v>
      </c>
      <c r="L492" t="str">
        <f t="shared" si="31"/>
        <v>&lt;$50K</v>
      </c>
      <c r="M492">
        <v>35</v>
      </c>
    </row>
    <row r="493" spans="1:13">
      <c r="A493" t="s">
        <v>80</v>
      </c>
      <c r="B493" t="str">
        <f t="shared" si="28"/>
        <v>Mid-Level</v>
      </c>
      <c r="C493" t="str">
        <f t="shared" si="29"/>
        <v>Data Engineer</v>
      </c>
      <c r="D493">
        <v>3.4</v>
      </c>
      <c r="E493" t="s">
        <v>162</v>
      </c>
      <c r="F493" t="str">
        <f t="shared" si="30"/>
        <v>Houston</v>
      </c>
      <c r="G493" t="s">
        <v>9</v>
      </c>
      <c r="H493" t="s">
        <v>74</v>
      </c>
      <c r="I493">
        <v>55</v>
      </c>
      <c r="J493">
        <v>105</v>
      </c>
      <c r="K493">
        <v>80</v>
      </c>
      <c r="L493" t="str">
        <f t="shared" si="31"/>
        <v>$75–100K</v>
      </c>
      <c r="M493">
        <v>19</v>
      </c>
    </row>
    <row r="494" spans="1:13">
      <c r="A494" t="s">
        <v>269</v>
      </c>
      <c r="B494" t="str">
        <f t="shared" si="28"/>
        <v>Mid-Level</v>
      </c>
      <c r="C494" t="str">
        <f t="shared" si="29"/>
        <v>Data Scientist</v>
      </c>
      <c r="D494">
        <v>4</v>
      </c>
      <c r="E494" t="s">
        <v>270</v>
      </c>
      <c r="F494" t="str">
        <f t="shared" si="30"/>
        <v>Burleson</v>
      </c>
      <c r="G494" t="s">
        <v>19</v>
      </c>
      <c r="H494" t="s">
        <v>15</v>
      </c>
      <c r="I494">
        <v>37</v>
      </c>
      <c r="J494">
        <v>52</v>
      </c>
      <c r="K494">
        <v>44.5</v>
      </c>
      <c r="L494" t="str">
        <f t="shared" si="31"/>
        <v>&lt;$50K</v>
      </c>
      <c r="M494">
        <v>44</v>
      </c>
    </row>
    <row r="495" spans="1:13">
      <c r="A495" t="s">
        <v>271</v>
      </c>
      <c r="B495" t="str">
        <f t="shared" si="28"/>
        <v>Mid-Level</v>
      </c>
      <c r="C495" t="str">
        <f t="shared" si="29"/>
        <v>Data Scientist</v>
      </c>
      <c r="D495">
        <v>2.4</v>
      </c>
      <c r="E495" t="s">
        <v>272</v>
      </c>
      <c r="F495" t="str">
        <f t="shared" si="30"/>
        <v>Hoopeston</v>
      </c>
      <c r="G495" t="s">
        <v>9</v>
      </c>
      <c r="H495" t="s">
        <v>273</v>
      </c>
      <c r="I495">
        <v>39</v>
      </c>
      <c r="J495">
        <v>66</v>
      </c>
      <c r="K495">
        <v>52.5</v>
      </c>
      <c r="L495" t="str">
        <f t="shared" si="31"/>
        <v>$50–75K</v>
      </c>
      <c r="M495">
        <v>-1</v>
      </c>
    </row>
    <row r="496" spans="1:13">
      <c r="A496" t="s">
        <v>463</v>
      </c>
      <c r="B496" t="str">
        <f t="shared" si="28"/>
        <v>Senior</v>
      </c>
      <c r="C496" t="str">
        <f t="shared" si="29"/>
        <v>Data Scientist</v>
      </c>
      <c r="D496">
        <v>3.7</v>
      </c>
      <c r="E496" t="s">
        <v>28</v>
      </c>
      <c r="F496" t="str">
        <f t="shared" si="30"/>
        <v>San Jose</v>
      </c>
      <c r="G496" t="s">
        <v>14</v>
      </c>
      <c r="H496" t="s">
        <v>10</v>
      </c>
      <c r="I496">
        <v>135</v>
      </c>
      <c r="J496">
        <v>211</v>
      </c>
      <c r="K496">
        <v>173</v>
      </c>
      <c r="L496" t="str">
        <f t="shared" si="31"/>
        <v>&gt;$150K</v>
      </c>
      <c r="M496">
        <v>82</v>
      </c>
    </row>
    <row r="497" spans="1:13">
      <c r="A497" t="s">
        <v>80</v>
      </c>
      <c r="B497" t="str">
        <f t="shared" si="28"/>
        <v>Mid-Level</v>
      </c>
      <c r="C497" t="str">
        <f t="shared" si="29"/>
        <v>Data Engineer</v>
      </c>
      <c r="D497">
        <v>3.5</v>
      </c>
      <c r="E497" t="s">
        <v>170</v>
      </c>
      <c r="F497" t="str">
        <f t="shared" si="30"/>
        <v>Phoenix</v>
      </c>
      <c r="G497" t="s">
        <v>9</v>
      </c>
      <c r="H497" t="s">
        <v>45</v>
      </c>
      <c r="I497">
        <v>57</v>
      </c>
      <c r="J497">
        <v>80</v>
      </c>
      <c r="K497">
        <v>68.5</v>
      </c>
      <c r="L497" t="str">
        <f t="shared" si="31"/>
        <v>$50–75K</v>
      </c>
      <c r="M497">
        <v>24</v>
      </c>
    </row>
    <row r="498" spans="1:13">
      <c r="A498" t="s">
        <v>464</v>
      </c>
      <c r="B498" t="str">
        <f t="shared" si="28"/>
        <v>Mid-Level</v>
      </c>
      <c r="C498" t="str">
        <f t="shared" si="29"/>
        <v>Data Scientist</v>
      </c>
      <c r="D498">
        <v>4.4000000000000004</v>
      </c>
      <c r="E498" t="s">
        <v>21</v>
      </c>
      <c r="F498" t="str">
        <f t="shared" si="30"/>
        <v>New York</v>
      </c>
      <c r="G498" t="s">
        <v>19</v>
      </c>
      <c r="H498" t="s">
        <v>231</v>
      </c>
      <c r="I498">
        <v>129</v>
      </c>
      <c r="J498">
        <v>215</v>
      </c>
      <c r="K498">
        <v>172</v>
      </c>
      <c r="L498" t="str">
        <f t="shared" si="31"/>
        <v>&gt;$150K</v>
      </c>
      <c r="M498">
        <v>20</v>
      </c>
    </row>
    <row r="499" spans="1:13">
      <c r="A499" t="s">
        <v>101</v>
      </c>
      <c r="B499" t="str">
        <f t="shared" si="28"/>
        <v>Mid-Level</v>
      </c>
      <c r="C499" t="str">
        <f t="shared" si="29"/>
        <v>Data Scientist</v>
      </c>
      <c r="D499">
        <v>3.3</v>
      </c>
      <c r="E499" t="s">
        <v>102</v>
      </c>
      <c r="F499" t="str">
        <f t="shared" si="30"/>
        <v>Boston</v>
      </c>
      <c r="G499" t="s">
        <v>14</v>
      </c>
      <c r="H499" t="s">
        <v>55</v>
      </c>
      <c r="I499">
        <v>86</v>
      </c>
      <c r="J499">
        <v>143</v>
      </c>
      <c r="K499">
        <v>114.5</v>
      </c>
      <c r="L499" t="str">
        <f t="shared" si="31"/>
        <v>$100–125K</v>
      </c>
      <c r="M499">
        <v>109</v>
      </c>
    </row>
    <row r="500" spans="1:13">
      <c r="A500" t="s">
        <v>465</v>
      </c>
      <c r="B500" t="str">
        <f t="shared" si="28"/>
        <v>Senior</v>
      </c>
      <c r="C500" t="str">
        <f t="shared" si="29"/>
        <v>Data Scientist</v>
      </c>
      <c r="D500">
        <v>3.9</v>
      </c>
      <c r="E500" t="s">
        <v>461</v>
      </c>
      <c r="F500" t="str">
        <f t="shared" si="30"/>
        <v>Gaithersburg</v>
      </c>
      <c r="G500" t="s">
        <v>14</v>
      </c>
      <c r="H500" t="s">
        <v>45</v>
      </c>
      <c r="I500">
        <v>63</v>
      </c>
      <c r="J500">
        <v>127</v>
      </c>
      <c r="K500">
        <v>95</v>
      </c>
      <c r="L500" t="str">
        <f t="shared" si="31"/>
        <v>$75–100K</v>
      </c>
      <c r="M500">
        <v>108</v>
      </c>
    </row>
    <row r="501" spans="1:13">
      <c r="A501" t="s">
        <v>466</v>
      </c>
      <c r="B501" t="str">
        <f t="shared" si="28"/>
        <v>Mid-Level</v>
      </c>
      <c r="C501" t="str">
        <f t="shared" si="29"/>
        <v>Data Scientist</v>
      </c>
      <c r="D501">
        <v>3.2</v>
      </c>
      <c r="E501" t="s">
        <v>155</v>
      </c>
      <c r="F501" t="str">
        <f t="shared" si="30"/>
        <v>Bedford</v>
      </c>
      <c r="G501" t="s">
        <v>38</v>
      </c>
      <c r="H501" t="s">
        <v>156</v>
      </c>
      <c r="I501">
        <v>50</v>
      </c>
      <c r="J501">
        <v>89</v>
      </c>
      <c r="K501">
        <v>69.5</v>
      </c>
      <c r="L501" t="str">
        <f t="shared" si="31"/>
        <v>$50–75K</v>
      </c>
      <c r="M501">
        <v>63</v>
      </c>
    </row>
    <row r="502" spans="1:13">
      <c r="A502" t="s">
        <v>80</v>
      </c>
      <c r="B502" t="str">
        <f t="shared" si="28"/>
        <v>Mid-Level</v>
      </c>
      <c r="C502" t="str">
        <f t="shared" si="29"/>
        <v>Data Engineer</v>
      </c>
      <c r="D502">
        <v>3.2</v>
      </c>
      <c r="E502" t="s">
        <v>21</v>
      </c>
      <c r="F502" t="str">
        <f t="shared" si="30"/>
        <v>New York</v>
      </c>
      <c r="G502" t="s">
        <v>9</v>
      </c>
      <c r="H502" t="s">
        <v>39</v>
      </c>
      <c r="I502">
        <v>43</v>
      </c>
      <c r="J502">
        <v>86</v>
      </c>
      <c r="K502">
        <v>64.5</v>
      </c>
      <c r="L502" t="str">
        <f t="shared" si="31"/>
        <v>$50–75K</v>
      </c>
      <c r="M502">
        <v>18</v>
      </c>
    </row>
    <row r="503" spans="1:13">
      <c r="A503" t="s">
        <v>365</v>
      </c>
      <c r="B503" t="str">
        <f t="shared" si="28"/>
        <v>Mid-Level</v>
      </c>
      <c r="C503" t="str">
        <f t="shared" si="29"/>
        <v>Data Scientist</v>
      </c>
      <c r="D503">
        <v>2.1</v>
      </c>
      <c r="E503" t="s">
        <v>366</v>
      </c>
      <c r="F503" t="str">
        <f t="shared" si="30"/>
        <v>Concord</v>
      </c>
      <c r="G503" t="s">
        <v>25</v>
      </c>
      <c r="H503" t="s">
        <v>45</v>
      </c>
      <c r="I503">
        <v>74</v>
      </c>
      <c r="J503">
        <v>149</v>
      </c>
      <c r="K503">
        <v>111.5</v>
      </c>
      <c r="L503" t="str">
        <f t="shared" si="31"/>
        <v>$100–125K</v>
      </c>
      <c r="M503">
        <v>-1</v>
      </c>
    </row>
    <row r="504" spans="1:13">
      <c r="A504" t="s">
        <v>7</v>
      </c>
      <c r="B504" t="str">
        <f t="shared" si="28"/>
        <v>Mid-Level</v>
      </c>
      <c r="C504" t="str">
        <f t="shared" si="29"/>
        <v>Data Scientist</v>
      </c>
      <c r="D504">
        <v>4</v>
      </c>
      <c r="E504" t="s">
        <v>21</v>
      </c>
      <c r="F504" t="str">
        <f t="shared" si="30"/>
        <v>New York</v>
      </c>
      <c r="G504" t="s">
        <v>9</v>
      </c>
      <c r="H504" t="s">
        <v>467</v>
      </c>
      <c r="I504">
        <v>71</v>
      </c>
      <c r="J504">
        <v>124</v>
      </c>
      <c r="K504">
        <v>97.5</v>
      </c>
      <c r="L504" t="str">
        <f t="shared" si="31"/>
        <v>$75–100K</v>
      </c>
      <c r="M504">
        <v>14</v>
      </c>
    </row>
    <row r="505" spans="1:13">
      <c r="A505" t="s">
        <v>367</v>
      </c>
      <c r="B505" t="str">
        <f t="shared" si="28"/>
        <v>Junior</v>
      </c>
      <c r="C505" t="str">
        <f t="shared" si="29"/>
        <v>Data Engineer</v>
      </c>
      <c r="D505">
        <v>3.7</v>
      </c>
      <c r="E505" t="s">
        <v>44</v>
      </c>
      <c r="F505" t="str">
        <f t="shared" si="30"/>
        <v>Cambridge</v>
      </c>
      <c r="G505" t="s">
        <v>14</v>
      </c>
      <c r="H505" t="s">
        <v>45</v>
      </c>
      <c r="I505">
        <v>113</v>
      </c>
      <c r="J505">
        <v>196</v>
      </c>
      <c r="K505">
        <v>154.5</v>
      </c>
      <c r="L505" t="str">
        <f t="shared" si="31"/>
        <v>&gt;$150K</v>
      </c>
      <c r="M505">
        <v>240</v>
      </c>
    </row>
    <row r="506" spans="1:13">
      <c r="A506" t="s">
        <v>274</v>
      </c>
      <c r="B506" t="str">
        <f t="shared" si="28"/>
        <v>Senior</v>
      </c>
      <c r="C506" t="str">
        <f t="shared" si="29"/>
        <v>ML Engineer</v>
      </c>
      <c r="D506">
        <v>2.6</v>
      </c>
      <c r="E506" t="s">
        <v>133</v>
      </c>
      <c r="F506" t="str">
        <f t="shared" si="30"/>
        <v>Pittsburgh</v>
      </c>
      <c r="G506" t="s">
        <v>9</v>
      </c>
      <c r="H506" t="s">
        <v>208</v>
      </c>
      <c r="I506">
        <v>81</v>
      </c>
      <c r="J506">
        <v>167</v>
      </c>
      <c r="K506">
        <v>124</v>
      </c>
      <c r="L506" t="str">
        <f t="shared" si="31"/>
        <v>$100–125K</v>
      </c>
      <c r="M506">
        <v>37</v>
      </c>
    </row>
    <row r="507" spans="1:13">
      <c r="A507" t="s">
        <v>7</v>
      </c>
      <c r="B507" t="str">
        <f t="shared" si="28"/>
        <v>Mid-Level</v>
      </c>
      <c r="C507" t="str">
        <f t="shared" si="29"/>
        <v>Data Scientist</v>
      </c>
      <c r="D507">
        <v>3.4</v>
      </c>
      <c r="E507" t="s">
        <v>21</v>
      </c>
      <c r="F507" t="str">
        <f t="shared" si="30"/>
        <v>New York</v>
      </c>
      <c r="G507" t="s">
        <v>25</v>
      </c>
      <c r="H507" t="s">
        <v>15</v>
      </c>
      <c r="I507">
        <v>69</v>
      </c>
      <c r="J507">
        <v>121</v>
      </c>
      <c r="K507">
        <v>95</v>
      </c>
      <c r="L507" t="str">
        <f t="shared" si="31"/>
        <v>$75–100K</v>
      </c>
      <c r="M507">
        <v>10</v>
      </c>
    </row>
    <row r="508" spans="1:13">
      <c r="A508" t="s">
        <v>78</v>
      </c>
      <c r="B508" t="str">
        <f t="shared" si="28"/>
        <v>Senior</v>
      </c>
      <c r="C508" t="str">
        <f t="shared" si="29"/>
        <v>Data Scientist</v>
      </c>
      <c r="D508">
        <v>4.4000000000000004</v>
      </c>
      <c r="E508" t="s">
        <v>59</v>
      </c>
      <c r="F508" t="str">
        <f t="shared" si="30"/>
        <v>Chicago</v>
      </c>
      <c r="G508" t="s">
        <v>25</v>
      </c>
      <c r="H508" t="s">
        <v>30</v>
      </c>
      <c r="I508">
        <v>97</v>
      </c>
      <c r="J508">
        <v>160</v>
      </c>
      <c r="K508">
        <v>128.5</v>
      </c>
      <c r="L508" t="str">
        <f t="shared" si="31"/>
        <v>$125–150K</v>
      </c>
      <c r="M508">
        <v>13</v>
      </c>
    </row>
    <row r="509" spans="1:13">
      <c r="A509" t="s">
        <v>463</v>
      </c>
      <c r="B509" t="str">
        <f t="shared" si="28"/>
        <v>Senior</v>
      </c>
      <c r="C509" t="str">
        <f t="shared" si="29"/>
        <v>Data Scientist</v>
      </c>
      <c r="D509">
        <v>3.2</v>
      </c>
      <c r="E509" t="s">
        <v>34</v>
      </c>
      <c r="F509" t="str">
        <f t="shared" si="30"/>
        <v>San Francisco</v>
      </c>
      <c r="G509" t="s">
        <v>9</v>
      </c>
      <c r="H509" t="s">
        <v>52</v>
      </c>
      <c r="I509">
        <v>150</v>
      </c>
      <c r="J509">
        <v>238</v>
      </c>
      <c r="K509">
        <v>194</v>
      </c>
      <c r="L509" t="str">
        <f t="shared" si="31"/>
        <v>&gt;$150K</v>
      </c>
      <c r="M509">
        <v>15</v>
      </c>
    </row>
    <row r="510" spans="1:13">
      <c r="A510" t="s">
        <v>7</v>
      </c>
      <c r="B510" t="str">
        <f t="shared" si="28"/>
        <v>Mid-Level</v>
      </c>
      <c r="C510" t="str">
        <f t="shared" si="29"/>
        <v>Data Scientist</v>
      </c>
      <c r="D510">
        <v>3.5</v>
      </c>
      <c r="E510" t="s">
        <v>21</v>
      </c>
      <c r="F510" t="str">
        <f t="shared" si="30"/>
        <v>New York</v>
      </c>
      <c r="G510" t="s">
        <v>25</v>
      </c>
      <c r="H510" t="s">
        <v>23</v>
      </c>
      <c r="I510">
        <v>77</v>
      </c>
      <c r="J510">
        <v>132</v>
      </c>
      <c r="K510">
        <v>104.5</v>
      </c>
      <c r="L510" t="str">
        <f t="shared" si="31"/>
        <v>$100–125K</v>
      </c>
      <c r="M510">
        <v>16</v>
      </c>
    </row>
    <row r="511" spans="1:13">
      <c r="A511" t="s">
        <v>368</v>
      </c>
      <c r="B511" t="str">
        <f t="shared" si="28"/>
        <v>Mid-Level</v>
      </c>
      <c r="C511" t="str">
        <f t="shared" si="29"/>
        <v>Data Scientist</v>
      </c>
      <c r="D511">
        <v>3.7</v>
      </c>
      <c r="E511" t="s">
        <v>369</v>
      </c>
      <c r="F511" t="str">
        <f t="shared" si="30"/>
        <v>Vail</v>
      </c>
      <c r="G511" t="s">
        <v>9</v>
      </c>
      <c r="H511" t="s">
        <v>15</v>
      </c>
      <c r="I511">
        <v>49</v>
      </c>
      <c r="J511">
        <v>81</v>
      </c>
      <c r="K511">
        <v>65</v>
      </c>
      <c r="L511" t="str">
        <f t="shared" si="31"/>
        <v>$50–75K</v>
      </c>
      <c r="M511">
        <v>55</v>
      </c>
    </row>
    <row r="512" spans="1:13">
      <c r="A512" t="s">
        <v>468</v>
      </c>
      <c r="B512" t="str">
        <f t="shared" si="28"/>
        <v>Mid-Level</v>
      </c>
      <c r="C512" t="str">
        <f t="shared" si="29"/>
        <v>Data Engineer</v>
      </c>
      <c r="D512">
        <v>4.2</v>
      </c>
      <c r="E512" t="s">
        <v>164</v>
      </c>
      <c r="F512" t="str">
        <f t="shared" si="30"/>
        <v>Charlotte</v>
      </c>
      <c r="G512" t="s">
        <v>25</v>
      </c>
      <c r="H512" t="s">
        <v>74</v>
      </c>
      <c r="I512">
        <v>59</v>
      </c>
      <c r="J512">
        <v>112</v>
      </c>
      <c r="K512">
        <v>85.5</v>
      </c>
      <c r="L512" t="str">
        <f t="shared" si="31"/>
        <v>$75–100K</v>
      </c>
      <c r="M512">
        <v>13</v>
      </c>
    </row>
    <row r="513" spans="1:13">
      <c r="A513" t="s">
        <v>469</v>
      </c>
      <c r="B513" t="str">
        <f t="shared" si="28"/>
        <v>Mid-Level</v>
      </c>
      <c r="C513" t="str">
        <f t="shared" si="29"/>
        <v>Data Analyst</v>
      </c>
      <c r="D513">
        <v>4.2</v>
      </c>
      <c r="E513" t="s">
        <v>204</v>
      </c>
      <c r="F513" t="str">
        <f t="shared" si="30"/>
        <v>Salt Lake City</v>
      </c>
      <c r="G513" t="s">
        <v>14</v>
      </c>
      <c r="H513" t="s">
        <v>205</v>
      </c>
      <c r="I513">
        <v>35</v>
      </c>
      <c r="J513">
        <v>65</v>
      </c>
      <c r="K513">
        <v>50</v>
      </c>
      <c r="L513" t="str">
        <f t="shared" si="31"/>
        <v>$50–75K</v>
      </c>
      <c r="M513">
        <v>-1</v>
      </c>
    </row>
    <row r="514" spans="1:13">
      <c r="A514" t="s">
        <v>80</v>
      </c>
      <c r="B514" t="str">
        <f t="shared" si="28"/>
        <v>Mid-Level</v>
      </c>
      <c r="C514" t="str">
        <f t="shared" si="29"/>
        <v>Data Engineer</v>
      </c>
      <c r="D514">
        <v>3.1</v>
      </c>
      <c r="E514" t="s">
        <v>470</v>
      </c>
      <c r="F514" t="str">
        <f t="shared" si="30"/>
        <v>Aliso Viejo</v>
      </c>
      <c r="G514" t="s">
        <v>19</v>
      </c>
      <c r="H514" t="s">
        <v>291</v>
      </c>
      <c r="I514">
        <v>79</v>
      </c>
      <c r="J514">
        <v>147</v>
      </c>
      <c r="K514">
        <v>113</v>
      </c>
      <c r="L514" t="str">
        <f t="shared" si="31"/>
        <v>$100–125K</v>
      </c>
      <c r="M514">
        <v>24</v>
      </c>
    </row>
    <row r="515" spans="1:13">
      <c r="A515" t="s">
        <v>471</v>
      </c>
      <c r="B515" t="str">
        <f t="shared" ref="B515:B578" si="32">IF(OR(ISNUMBER(SEARCH("Senior",A515)),ISNUMBER(SEARCH("Sr",A515)),ISNUMBER(SEARCH("Lead",A515)),ISNUMBER(SEARCH("Principal",A515))),"Senior",IF(OR(ISNUMBER(SEARCH("Junior",A515)),ISNUMBER(SEARCH("Jr",A515)),ISNUMBER(SEARCH("Entry",A515)),ISNUMBER(SEARCH("Associate",A515))),"Junior",IF(OR(ISNUMBER(SEARCH("Manager",A515)),ISNUMBER(SEARCH("Director",A515)),ISNUMBER(SEARCH("Head",A515)),ISNUMBER(SEARCH("VP",A515))),"Management","Mid-Level")))</f>
        <v>Mid-Level</v>
      </c>
      <c r="C515" t="str">
        <f t="shared" ref="C515:C578" si="33">IF(ISNUMBER(SEARCH("Machine Learn",A515)),"ML Engineer",IF(ISNUMBER(SEARCH("Data Engineer",A515)),"Data Engineer",IF(ISNUMBER(SEARCH("Data Analyst",A515)),"Data Analyst",IF(ISNUMBER(SEARCH("Business Analyst",A515)),"Business Analyst",IF(ISNUMBER(SEARCH("Research",A515)),"Research Scientist",IF(ISNUMBER(SEARCH("Manager",A515)),"DS Manager",IF(ISNUMBER(SEARCH("Director",A515)),"Director/VP","Data Scientist")))))))</f>
        <v>Data Scientist</v>
      </c>
      <c r="D515">
        <v>3.9</v>
      </c>
      <c r="E515" t="s">
        <v>44</v>
      </c>
      <c r="F515" t="str">
        <f t="shared" ref="F515:F578" si="34">IFERROR(LEFT(E515, FIND(",", E515)-1), E515)</f>
        <v>Cambridge</v>
      </c>
      <c r="G515" t="s">
        <v>14</v>
      </c>
      <c r="H515" t="s">
        <v>45</v>
      </c>
      <c r="I515">
        <v>62</v>
      </c>
      <c r="J515">
        <v>119</v>
      </c>
      <c r="K515">
        <v>90.5</v>
      </c>
      <c r="L515" t="str">
        <f t="shared" ref="L515:L578" si="35">IF(K515&lt;50,"&lt;$50K",IF(K515&lt;75,"$50–75K",IF(K515&lt;100,"$75–100K",IF(K515&lt;125,"$100–125K",IF(K515&lt;150,"$125–150K","&gt;$150K")))))</f>
        <v>$75–100K</v>
      </c>
      <c r="M515">
        <v>191</v>
      </c>
    </row>
    <row r="516" spans="1:13">
      <c r="A516" t="s">
        <v>78</v>
      </c>
      <c r="B516" t="str">
        <f t="shared" si="32"/>
        <v>Senior</v>
      </c>
      <c r="C516" t="str">
        <f t="shared" si="33"/>
        <v>Data Scientist</v>
      </c>
      <c r="D516">
        <v>4.3</v>
      </c>
      <c r="E516" t="s">
        <v>179</v>
      </c>
      <c r="F516" t="str">
        <f t="shared" si="34"/>
        <v>Los Angeles</v>
      </c>
      <c r="G516" t="s">
        <v>22</v>
      </c>
      <c r="H516" t="s">
        <v>76</v>
      </c>
      <c r="I516">
        <v>119</v>
      </c>
      <c r="J516">
        <v>187</v>
      </c>
      <c r="K516">
        <v>153</v>
      </c>
      <c r="L516" t="str">
        <f t="shared" si="35"/>
        <v>&gt;$150K</v>
      </c>
      <c r="M516">
        <v>13</v>
      </c>
    </row>
    <row r="517" spans="1:13">
      <c r="A517" t="s">
        <v>472</v>
      </c>
      <c r="B517" t="str">
        <f t="shared" si="32"/>
        <v>Mid-Level</v>
      </c>
      <c r="C517" t="str">
        <f t="shared" si="33"/>
        <v>Data Analyst</v>
      </c>
      <c r="D517">
        <v>3.3</v>
      </c>
      <c r="E517" t="s">
        <v>473</v>
      </c>
      <c r="F517" t="str">
        <f t="shared" si="34"/>
        <v>Dublin</v>
      </c>
      <c r="G517" t="s">
        <v>19</v>
      </c>
      <c r="H517" t="s">
        <v>30</v>
      </c>
      <c r="I517">
        <v>90</v>
      </c>
      <c r="J517">
        <v>157</v>
      </c>
      <c r="K517">
        <v>123.5</v>
      </c>
      <c r="L517" t="str">
        <f t="shared" si="35"/>
        <v>$100–125K</v>
      </c>
      <c r="M517">
        <v>33</v>
      </c>
    </row>
    <row r="518" spans="1:13">
      <c r="A518" t="s">
        <v>474</v>
      </c>
      <c r="B518" t="str">
        <f t="shared" si="32"/>
        <v>Senior</v>
      </c>
      <c r="C518" t="str">
        <f t="shared" si="33"/>
        <v>Data Analyst</v>
      </c>
      <c r="D518">
        <v>3.9</v>
      </c>
      <c r="E518" t="s">
        <v>21</v>
      </c>
      <c r="F518" t="str">
        <f t="shared" si="34"/>
        <v>New York</v>
      </c>
      <c r="G518" t="s">
        <v>25</v>
      </c>
      <c r="H518" t="s">
        <v>33</v>
      </c>
      <c r="I518">
        <v>32</v>
      </c>
      <c r="J518">
        <v>62</v>
      </c>
      <c r="K518">
        <v>47</v>
      </c>
      <c r="L518" t="str">
        <f t="shared" si="35"/>
        <v>&lt;$50K</v>
      </c>
      <c r="M518">
        <v>11</v>
      </c>
    </row>
    <row r="519" spans="1:13">
      <c r="A519" t="s">
        <v>275</v>
      </c>
      <c r="B519" t="str">
        <f t="shared" si="32"/>
        <v>Management</v>
      </c>
      <c r="C519" t="str">
        <f t="shared" si="33"/>
        <v>DS Manager</v>
      </c>
      <c r="D519">
        <v>3.5</v>
      </c>
      <c r="E519" t="s">
        <v>276</v>
      </c>
      <c r="F519" t="str">
        <f t="shared" si="34"/>
        <v>Scotts Valley</v>
      </c>
      <c r="G519" t="s">
        <v>9</v>
      </c>
      <c r="H519" t="s">
        <v>15</v>
      </c>
      <c r="I519">
        <v>42</v>
      </c>
      <c r="J519">
        <v>86</v>
      </c>
      <c r="K519">
        <v>64</v>
      </c>
      <c r="L519" t="str">
        <f t="shared" si="35"/>
        <v>$50–75K</v>
      </c>
      <c r="M519">
        <v>25</v>
      </c>
    </row>
    <row r="520" spans="1:13">
      <c r="A520" t="s">
        <v>475</v>
      </c>
      <c r="B520" t="str">
        <f t="shared" si="32"/>
        <v>Mid-Level</v>
      </c>
      <c r="C520" t="str">
        <f t="shared" si="33"/>
        <v>Data Scientist</v>
      </c>
      <c r="D520">
        <v>4</v>
      </c>
      <c r="E520" t="s">
        <v>28</v>
      </c>
      <c r="F520" t="str">
        <f t="shared" si="34"/>
        <v>San Jose</v>
      </c>
      <c r="G520" t="s">
        <v>14</v>
      </c>
      <c r="H520" t="s">
        <v>76</v>
      </c>
      <c r="I520">
        <v>116</v>
      </c>
      <c r="J520">
        <v>208</v>
      </c>
      <c r="K520">
        <v>162</v>
      </c>
      <c r="L520" t="str">
        <f t="shared" si="35"/>
        <v>&gt;$150K</v>
      </c>
      <c r="M520">
        <v>39</v>
      </c>
    </row>
    <row r="521" spans="1:13">
      <c r="A521" t="s">
        <v>370</v>
      </c>
      <c r="B521" t="str">
        <f t="shared" si="32"/>
        <v>Senior</v>
      </c>
      <c r="C521" t="str">
        <f t="shared" si="33"/>
        <v>Data Scientist</v>
      </c>
      <c r="D521">
        <v>3.9</v>
      </c>
      <c r="E521" t="s">
        <v>21</v>
      </c>
      <c r="F521" t="str">
        <f t="shared" si="34"/>
        <v>New York</v>
      </c>
      <c r="G521" t="s">
        <v>14</v>
      </c>
      <c r="H521" t="s">
        <v>45</v>
      </c>
      <c r="I521">
        <v>102</v>
      </c>
      <c r="J521">
        <v>172</v>
      </c>
      <c r="K521">
        <v>137</v>
      </c>
      <c r="L521" t="str">
        <f t="shared" si="35"/>
        <v>$125–150K</v>
      </c>
      <c r="M521">
        <v>108</v>
      </c>
    </row>
    <row r="522" spans="1:13">
      <c r="A522" t="s">
        <v>277</v>
      </c>
      <c r="B522" t="str">
        <f t="shared" si="32"/>
        <v>Senior</v>
      </c>
      <c r="C522" t="str">
        <f t="shared" si="33"/>
        <v>Data Engineer</v>
      </c>
      <c r="D522">
        <v>3</v>
      </c>
      <c r="E522" t="s">
        <v>278</v>
      </c>
      <c r="F522" t="str">
        <f t="shared" si="34"/>
        <v>Knoxville</v>
      </c>
      <c r="G522" t="s">
        <v>14</v>
      </c>
      <c r="H522" t="s">
        <v>279</v>
      </c>
      <c r="I522">
        <v>69</v>
      </c>
      <c r="J522">
        <v>127</v>
      </c>
      <c r="K522">
        <v>98</v>
      </c>
      <c r="L522" t="str">
        <f t="shared" si="35"/>
        <v>$75–100K</v>
      </c>
      <c r="M522">
        <v>63</v>
      </c>
    </row>
    <row r="523" spans="1:13">
      <c r="A523" t="s">
        <v>7</v>
      </c>
      <c r="B523" t="str">
        <f t="shared" si="32"/>
        <v>Mid-Level</v>
      </c>
      <c r="C523" t="str">
        <f t="shared" si="33"/>
        <v>Data Scientist</v>
      </c>
      <c r="D523">
        <v>3.7</v>
      </c>
      <c r="E523" t="s">
        <v>105</v>
      </c>
      <c r="F523" t="str">
        <f t="shared" si="34"/>
        <v>Armonk</v>
      </c>
      <c r="G523" t="s">
        <v>14</v>
      </c>
      <c r="H523" t="s">
        <v>57</v>
      </c>
      <c r="I523">
        <v>86</v>
      </c>
      <c r="J523">
        <v>144</v>
      </c>
      <c r="K523">
        <v>115</v>
      </c>
      <c r="L523" t="str">
        <f t="shared" si="35"/>
        <v>$100–125K</v>
      </c>
      <c r="M523">
        <v>158</v>
      </c>
    </row>
    <row r="524" spans="1:13">
      <c r="A524" t="s">
        <v>78</v>
      </c>
      <c r="B524" t="str">
        <f t="shared" si="32"/>
        <v>Senior</v>
      </c>
      <c r="C524" t="str">
        <f t="shared" si="33"/>
        <v>Data Scientist</v>
      </c>
      <c r="D524">
        <v>3.5</v>
      </c>
      <c r="E524" t="s">
        <v>476</v>
      </c>
      <c r="F524" t="str">
        <f t="shared" si="34"/>
        <v>Arvada</v>
      </c>
      <c r="G524" t="s">
        <v>38</v>
      </c>
      <c r="H524" t="s">
        <v>45</v>
      </c>
      <c r="I524">
        <v>102</v>
      </c>
      <c r="J524">
        <v>165</v>
      </c>
      <c r="K524">
        <v>133.5</v>
      </c>
      <c r="L524" t="str">
        <f t="shared" si="35"/>
        <v>$125–150K</v>
      </c>
      <c r="M524">
        <v>151</v>
      </c>
    </row>
    <row r="525" spans="1:13">
      <c r="A525" t="s">
        <v>80</v>
      </c>
      <c r="B525" t="str">
        <f t="shared" si="32"/>
        <v>Mid-Level</v>
      </c>
      <c r="C525" t="str">
        <f t="shared" si="33"/>
        <v>Data Engineer</v>
      </c>
      <c r="D525">
        <v>4</v>
      </c>
      <c r="E525" t="s">
        <v>54</v>
      </c>
      <c r="F525" t="str">
        <f t="shared" si="34"/>
        <v>Denver</v>
      </c>
      <c r="G525" t="s">
        <v>9</v>
      </c>
      <c r="H525" t="s">
        <v>55</v>
      </c>
      <c r="I525">
        <v>74</v>
      </c>
      <c r="J525">
        <v>124</v>
      </c>
      <c r="K525">
        <v>99</v>
      </c>
      <c r="L525" t="str">
        <f t="shared" si="35"/>
        <v>$75–100K</v>
      </c>
      <c r="M525">
        <v>106</v>
      </c>
    </row>
    <row r="526" spans="1:13">
      <c r="A526" t="s">
        <v>282</v>
      </c>
      <c r="B526" t="str">
        <f t="shared" si="32"/>
        <v>Mid-Level</v>
      </c>
      <c r="C526" t="str">
        <f t="shared" si="33"/>
        <v>Data Scientist</v>
      </c>
      <c r="D526">
        <v>3.3</v>
      </c>
      <c r="E526" t="s">
        <v>158</v>
      </c>
      <c r="F526" t="str">
        <f t="shared" si="34"/>
        <v>Milwaukee</v>
      </c>
      <c r="G526" t="s">
        <v>9</v>
      </c>
      <c r="H526" t="s">
        <v>273</v>
      </c>
      <c r="I526">
        <v>40</v>
      </c>
      <c r="J526">
        <v>68</v>
      </c>
      <c r="K526">
        <v>54</v>
      </c>
      <c r="L526" t="str">
        <f t="shared" si="35"/>
        <v>$50–75K</v>
      </c>
      <c r="M526">
        <v>57</v>
      </c>
    </row>
    <row r="527" spans="1:13">
      <c r="A527" t="s">
        <v>180</v>
      </c>
      <c r="B527" t="str">
        <f t="shared" si="32"/>
        <v>Senior</v>
      </c>
      <c r="C527" t="str">
        <f t="shared" si="33"/>
        <v>Data Engineer</v>
      </c>
      <c r="D527">
        <v>3.2</v>
      </c>
      <c r="E527" t="s">
        <v>405</v>
      </c>
      <c r="F527" t="str">
        <f t="shared" si="34"/>
        <v>Franklin</v>
      </c>
      <c r="G527" t="s">
        <v>19</v>
      </c>
      <c r="H527" t="s">
        <v>15</v>
      </c>
      <c r="I527">
        <v>76</v>
      </c>
      <c r="J527">
        <v>142</v>
      </c>
      <c r="K527">
        <v>109</v>
      </c>
      <c r="L527" t="str">
        <f t="shared" si="35"/>
        <v>$100–125K</v>
      </c>
      <c r="M527">
        <v>17</v>
      </c>
    </row>
    <row r="528" spans="1:13">
      <c r="A528" t="s">
        <v>80</v>
      </c>
      <c r="B528" t="str">
        <f t="shared" si="32"/>
        <v>Mid-Level</v>
      </c>
      <c r="C528" t="str">
        <f t="shared" si="33"/>
        <v>Data Engineer</v>
      </c>
      <c r="D528">
        <v>3.4</v>
      </c>
      <c r="E528" t="s">
        <v>176</v>
      </c>
      <c r="F528" t="str">
        <f t="shared" si="34"/>
        <v>Rockville</v>
      </c>
      <c r="G528" t="s">
        <v>25</v>
      </c>
      <c r="H528" t="s">
        <v>74</v>
      </c>
      <c r="I528">
        <v>76</v>
      </c>
      <c r="J528">
        <v>142</v>
      </c>
      <c r="K528">
        <v>109</v>
      </c>
      <c r="L528" t="str">
        <f t="shared" si="35"/>
        <v>$100–125K</v>
      </c>
      <c r="M528">
        <v>22</v>
      </c>
    </row>
    <row r="529" spans="1:13">
      <c r="A529" t="s">
        <v>78</v>
      </c>
      <c r="B529" t="str">
        <f t="shared" si="32"/>
        <v>Senior</v>
      </c>
      <c r="C529" t="str">
        <f t="shared" si="33"/>
        <v>Data Scientist</v>
      </c>
      <c r="D529">
        <v>4.4000000000000004</v>
      </c>
      <c r="E529" t="s">
        <v>371</v>
      </c>
      <c r="F529" t="str">
        <f t="shared" si="34"/>
        <v>Natick</v>
      </c>
      <c r="G529" t="s">
        <v>19</v>
      </c>
      <c r="H529" t="s">
        <v>76</v>
      </c>
      <c r="I529">
        <v>108</v>
      </c>
      <c r="J529">
        <v>171</v>
      </c>
      <c r="K529">
        <v>139.5</v>
      </c>
      <c r="L529" t="str">
        <f t="shared" si="35"/>
        <v>$125–150K</v>
      </c>
      <c r="M529">
        <v>37</v>
      </c>
    </row>
    <row r="530" spans="1:13">
      <c r="A530" t="s">
        <v>372</v>
      </c>
      <c r="B530" t="str">
        <f t="shared" si="32"/>
        <v>Management</v>
      </c>
      <c r="C530" t="str">
        <f t="shared" si="33"/>
        <v>Director/VP</v>
      </c>
      <c r="D530">
        <v>3.3</v>
      </c>
      <c r="E530" t="s">
        <v>59</v>
      </c>
      <c r="F530" t="str">
        <f t="shared" si="34"/>
        <v>Chicago</v>
      </c>
      <c r="G530" t="s">
        <v>14</v>
      </c>
      <c r="H530" t="s">
        <v>55</v>
      </c>
      <c r="I530">
        <v>202</v>
      </c>
      <c r="J530">
        <v>306</v>
      </c>
      <c r="K530">
        <v>254</v>
      </c>
      <c r="L530" t="str">
        <f t="shared" si="35"/>
        <v>&gt;$150K</v>
      </c>
      <c r="M530">
        <v>109</v>
      </c>
    </row>
    <row r="531" spans="1:13">
      <c r="A531" t="s">
        <v>196</v>
      </c>
      <c r="B531" t="str">
        <f t="shared" si="32"/>
        <v>Mid-Level</v>
      </c>
      <c r="C531" t="str">
        <f t="shared" si="33"/>
        <v>ML Engineer</v>
      </c>
      <c r="D531">
        <v>3.2</v>
      </c>
      <c r="E531" t="s">
        <v>21</v>
      </c>
      <c r="F531" t="str">
        <f t="shared" si="34"/>
        <v>New York</v>
      </c>
      <c r="G531" t="s">
        <v>19</v>
      </c>
      <c r="H531" t="s">
        <v>76</v>
      </c>
      <c r="I531">
        <v>91</v>
      </c>
      <c r="J531">
        <v>159</v>
      </c>
      <c r="K531">
        <v>125</v>
      </c>
      <c r="L531" t="str">
        <f t="shared" si="35"/>
        <v>$125–150K</v>
      </c>
      <c r="M531">
        <v>46</v>
      </c>
    </row>
    <row r="532" spans="1:13">
      <c r="A532" t="s">
        <v>477</v>
      </c>
      <c r="B532" t="str">
        <f t="shared" si="32"/>
        <v>Senior</v>
      </c>
      <c r="C532" t="str">
        <f t="shared" si="33"/>
        <v>Data Scientist</v>
      </c>
      <c r="D532">
        <v>3.8</v>
      </c>
      <c r="E532" t="s">
        <v>44</v>
      </c>
      <c r="F532" t="str">
        <f t="shared" si="34"/>
        <v>Cambridge</v>
      </c>
      <c r="G532" t="s">
        <v>14</v>
      </c>
      <c r="H532" t="s">
        <v>45</v>
      </c>
      <c r="I532">
        <v>80</v>
      </c>
      <c r="J532">
        <v>133</v>
      </c>
      <c r="K532">
        <v>106.5</v>
      </c>
      <c r="L532" t="str">
        <f t="shared" si="35"/>
        <v>$100–125K</v>
      </c>
      <c r="M532">
        <v>25</v>
      </c>
    </row>
    <row r="533" spans="1:13">
      <c r="A533" t="s">
        <v>373</v>
      </c>
      <c r="B533" t="str">
        <f t="shared" si="32"/>
        <v>Mid-Level</v>
      </c>
      <c r="C533" t="str">
        <f t="shared" si="33"/>
        <v>Data Scientist</v>
      </c>
      <c r="D533">
        <v>2.9</v>
      </c>
      <c r="E533" t="s">
        <v>219</v>
      </c>
      <c r="F533" t="str">
        <f t="shared" si="34"/>
        <v>South San Francisco</v>
      </c>
      <c r="G533" t="s">
        <v>25</v>
      </c>
      <c r="H533" t="s">
        <v>45</v>
      </c>
      <c r="I533">
        <v>49</v>
      </c>
      <c r="J533">
        <v>97</v>
      </c>
      <c r="K533">
        <v>73</v>
      </c>
      <c r="L533" t="str">
        <f t="shared" si="35"/>
        <v>$50–75K</v>
      </c>
      <c r="M533">
        <v>9</v>
      </c>
    </row>
    <row r="534" spans="1:13">
      <c r="A534" t="s">
        <v>283</v>
      </c>
      <c r="B534" t="str">
        <f t="shared" si="32"/>
        <v>Mid-Level</v>
      </c>
      <c r="C534" t="str">
        <f t="shared" si="33"/>
        <v>Data Scientist</v>
      </c>
      <c r="D534">
        <v>2.7</v>
      </c>
      <c r="E534" t="s">
        <v>176</v>
      </c>
      <c r="F534" t="str">
        <f t="shared" si="34"/>
        <v>Rockville</v>
      </c>
      <c r="G534" t="s">
        <v>25</v>
      </c>
      <c r="H534" t="s">
        <v>45</v>
      </c>
      <c r="I534">
        <v>49</v>
      </c>
      <c r="J534">
        <v>113</v>
      </c>
      <c r="K534">
        <v>81</v>
      </c>
      <c r="L534" t="str">
        <f t="shared" si="35"/>
        <v>$75–100K</v>
      </c>
      <c r="M534">
        <v>60</v>
      </c>
    </row>
    <row r="535" spans="1:13">
      <c r="A535" t="s">
        <v>280</v>
      </c>
      <c r="B535" t="str">
        <f t="shared" si="32"/>
        <v>Mid-Level</v>
      </c>
      <c r="C535" t="str">
        <f t="shared" si="33"/>
        <v>Data Scientist</v>
      </c>
      <c r="D535">
        <v>3.6</v>
      </c>
      <c r="E535" t="s">
        <v>281</v>
      </c>
      <c r="F535" t="str">
        <f t="shared" si="34"/>
        <v>Millville</v>
      </c>
      <c r="G535" t="s">
        <v>19</v>
      </c>
      <c r="H535" t="s">
        <v>15</v>
      </c>
      <c r="I535">
        <v>43</v>
      </c>
      <c r="J535">
        <v>70</v>
      </c>
      <c r="K535">
        <v>56.5</v>
      </c>
      <c r="L535" t="str">
        <f t="shared" si="35"/>
        <v>$50–75K</v>
      </c>
      <c r="M535">
        <v>86</v>
      </c>
    </row>
    <row r="536" spans="1:13">
      <c r="A536" t="s">
        <v>374</v>
      </c>
      <c r="B536" t="str">
        <f t="shared" si="32"/>
        <v>Mid-Level</v>
      </c>
      <c r="C536" t="str">
        <f t="shared" si="33"/>
        <v>Data Scientist</v>
      </c>
      <c r="D536">
        <v>3.1</v>
      </c>
      <c r="E536" t="s">
        <v>356</v>
      </c>
      <c r="F536" t="str">
        <f t="shared" si="34"/>
        <v>Winston-Salem</v>
      </c>
      <c r="G536" t="s">
        <v>38</v>
      </c>
      <c r="H536" t="s">
        <v>86</v>
      </c>
      <c r="I536">
        <v>65</v>
      </c>
      <c r="J536">
        <v>134</v>
      </c>
      <c r="K536">
        <v>99.5</v>
      </c>
      <c r="L536" t="str">
        <f t="shared" si="35"/>
        <v>$75–100K</v>
      </c>
      <c r="M536">
        <v>146</v>
      </c>
    </row>
    <row r="537" spans="1:13">
      <c r="A537" t="s">
        <v>375</v>
      </c>
      <c r="B537" t="str">
        <f t="shared" si="32"/>
        <v>Junior</v>
      </c>
      <c r="C537" t="str">
        <f t="shared" si="33"/>
        <v>Data Analyst</v>
      </c>
      <c r="D537">
        <v>3.3</v>
      </c>
      <c r="E537" t="s">
        <v>376</v>
      </c>
      <c r="F537" t="str">
        <f t="shared" si="34"/>
        <v>Richfield</v>
      </c>
      <c r="G537" t="s">
        <v>9</v>
      </c>
      <c r="H537" t="s">
        <v>55</v>
      </c>
      <c r="I537">
        <v>32</v>
      </c>
      <c r="J537">
        <v>59</v>
      </c>
      <c r="K537">
        <v>45.5</v>
      </c>
      <c r="L537" t="str">
        <f t="shared" si="35"/>
        <v>&lt;$50K</v>
      </c>
      <c r="M537">
        <v>32</v>
      </c>
    </row>
    <row r="538" spans="1:13">
      <c r="A538" t="s">
        <v>478</v>
      </c>
      <c r="B538" t="str">
        <f t="shared" si="32"/>
        <v>Junior</v>
      </c>
      <c r="C538" t="str">
        <f t="shared" si="33"/>
        <v>Data Analyst</v>
      </c>
      <c r="D538">
        <v>3.7</v>
      </c>
      <c r="E538" t="s">
        <v>65</v>
      </c>
      <c r="F538" t="str">
        <f t="shared" si="34"/>
        <v>Worcester</v>
      </c>
      <c r="G538" t="s">
        <v>38</v>
      </c>
      <c r="H538" t="s">
        <v>55</v>
      </c>
      <c r="I538">
        <v>39</v>
      </c>
      <c r="J538">
        <v>69</v>
      </c>
      <c r="K538">
        <v>54</v>
      </c>
      <c r="L538" t="str">
        <f t="shared" si="35"/>
        <v>$50–75K</v>
      </c>
      <c r="M538">
        <v>169</v>
      </c>
    </row>
    <row r="539" spans="1:13">
      <c r="A539" t="s">
        <v>284</v>
      </c>
      <c r="B539" t="str">
        <f t="shared" si="32"/>
        <v>Senior</v>
      </c>
      <c r="C539" t="str">
        <f t="shared" si="33"/>
        <v>Data Engineer</v>
      </c>
      <c r="D539">
        <v>4.5</v>
      </c>
      <c r="E539" t="s">
        <v>125</v>
      </c>
      <c r="F539" t="str">
        <f t="shared" si="34"/>
        <v>Indianapolis</v>
      </c>
      <c r="G539" t="s">
        <v>22</v>
      </c>
      <c r="H539" t="s">
        <v>30</v>
      </c>
      <c r="I539">
        <v>87</v>
      </c>
      <c r="J539">
        <v>158</v>
      </c>
      <c r="K539">
        <v>122.5</v>
      </c>
      <c r="L539" t="str">
        <f t="shared" si="35"/>
        <v>$100–125K</v>
      </c>
      <c r="M539">
        <v>25</v>
      </c>
    </row>
    <row r="540" spans="1:13">
      <c r="A540" t="s">
        <v>342</v>
      </c>
      <c r="B540" t="str">
        <f t="shared" si="32"/>
        <v>Mid-Level</v>
      </c>
      <c r="C540" t="str">
        <f t="shared" si="33"/>
        <v>Data Analyst</v>
      </c>
      <c r="D540">
        <v>3</v>
      </c>
      <c r="E540" t="s">
        <v>199</v>
      </c>
      <c r="F540" t="str">
        <f t="shared" si="34"/>
        <v>Tampa</v>
      </c>
      <c r="G540" t="s">
        <v>19</v>
      </c>
      <c r="H540" t="s">
        <v>52</v>
      </c>
      <c r="I540">
        <v>27</v>
      </c>
      <c r="J540">
        <v>48</v>
      </c>
      <c r="K540">
        <v>37.5</v>
      </c>
      <c r="L540" t="str">
        <f t="shared" si="35"/>
        <v>&lt;$50K</v>
      </c>
      <c r="M540">
        <v>44</v>
      </c>
    </row>
    <row r="541" spans="1:13">
      <c r="A541" t="s">
        <v>479</v>
      </c>
      <c r="B541" t="str">
        <f t="shared" si="32"/>
        <v>Mid-Level</v>
      </c>
      <c r="C541" t="str">
        <f t="shared" si="33"/>
        <v>Data Analyst</v>
      </c>
      <c r="D541">
        <v>3.8</v>
      </c>
      <c r="E541" t="s">
        <v>21</v>
      </c>
      <c r="F541" t="str">
        <f t="shared" si="34"/>
        <v>New York</v>
      </c>
      <c r="G541" t="s">
        <v>19</v>
      </c>
      <c r="H541" t="s">
        <v>201</v>
      </c>
      <c r="I541">
        <v>36</v>
      </c>
      <c r="J541">
        <v>71</v>
      </c>
      <c r="K541">
        <v>53.5</v>
      </c>
      <c r="L541" t="str">
        <f t="shared" si="35"/>
        <v>$50–75K</v>
      </c>
      <c r="M541">
        <v>19</v>
      </c>
    </row>
    <row r="542" spans="1:13">
      <c r="A542" t="s">
        <v>377</v>
      </c>
      <c r="B542" t="str">
        <f t="shared" si="32"/>
        <v>Senior</v>
      </c>
      <c r="C542" t="str">
        <f t="shared" si="33"/>
        <v>Data Scientist</v>
      </c>
      <c r="D542">
        <v>3.9</v>
      </c>
      <c r="E542" t="s">
        <v>59</v>
      </c>
      <c r="F542" t="str">
        <f t="shared" si="34"/>
        <v>Chicago</v>
      </c>
      <c r="G542" t="s">
        <v>38</v>
      </c>
      <c r="H542" t="s">
        <v>148</v>
      </c>
      <c r="I542">
        <v>107</v>
      </c>
      <c r="J542">
        <v>173</v>
      </c>
      <c r="K542">
        <v>140</v>
      </c>
      <c r="L542" t="str">
        <f t="shared" si="35"/>
        <v>$125–150K</v>
      </c>
      <c r="M542">
        <v>53</v>
      </c>
    </row>
    <row r="543" spans="1:13">
      <c r="A543" t="s">
        <v>378</v>
      </c>
      <c r="B543" t="str">
        <f t="shared" si="32"/>
        <v>Senior</v>
      </c>
      <c r="C543" t="str">
        <f t="shared" si="33"/>
        <v>Data Scientist</v>
      </c>
      <c r="D543">
        <v>3.2</v>
      </c>
      <c r="E543" t="s">
        <v>379</v>
      </c>
      <c r="F543" t="str">
        <f t="shared" si="34"/>
        <v>Hampton</v>
      </c>
      <c r="G543" t="s">
        <v>38</v>
      </c>
      <c r="H543" t="s">
        <v>156</v>
      </c>
      <c r="I543">
        <v>56</v>
      </c>
      <c r="J543">
        <v>99</v>
      </c>
      <c r="K543">
        <v>77.5</v>
      </c>
      <c r="L543" t="str">
        <f t="shared" si="35"/>
        <v>$75–100K</v>
      </c>
      <c r="M543">
        <v>63</v>
      </c>
    </row>
    <row r="544" spans="1:13">
      <c r="A544" t="s">
        <v>380</v>
      </c>
      <c r="B544" t="str">
        <f t="shared" si="32"/>
        <v>Mid-Level</v>
      </c>
      <c r="C544" t="str">
        <f t="shared" si="33"/>
        <v>Data Scientist</v>
      </c>
      <c r="D544">
        <v>3.3</v>
      </c>
      <c r="E544" t="s">
        <v>44</v>
      </c>
      <c r="F544" t="str">
        <f t="shared" si="34"/>
        <v>Cambridge</v>
      </c>
      <c r="G544" s="1">
        <v>18264</v>
      </c>
      <c r="H544" t="s">
        <v>381</v>
      </c>
      <c r="I544">
        <v>52</v>
      </c>
      <c r="J544">
        <v>58</v>
      </c>
      <c r="K544">
        <v>55</v>
      </c>
      <c r="L544" t="str">
        <f t="shared" si="35"/>
        <v>$50–75K</v>
      </c>
      <c r="M544">
        <v>45</v>
      </c>
    </row>
    <row r="545" spans="1:13">
      <c r="A545" t="s">
        <v>382</v>
      </c>
      <c r="B545" t="str">
        <f t="shared" si="32"/>
        <v>Senior</v>
      </c>
      <c r="C545" t="str">
        <f t="shared" si="33"/>
        <v>Data Scientist</v>
      </c>
      <c r="D545">
        <v>3.1</v>
      </c>
      <c r="E545" t="s">
        <v>356</v>
      </c>
      <c r="F545" t="str">
        <f t="shared" si="34"/>
        <v>Winston-Salem</v>
      </c>
      <c r="G545" t="s">
        <v>38</v>
      </c>
      <c r="H545" t="s">
        <v>86</v>
      </c>
      <c r="I545">
        <v>80</v>
      </c>
      <c r="J545">
        <v>155</v>
      </c>
      <c r="K545">
        <v>117.5</v>
      </c>
      <c r="L545" t="str">
        <f t="shared" si="35"/>
        <v>$100–125K</v>
      </c>
      <c r="M545">
        <v>146</v>
      </c>
    </row>
    <row r="546" spans="1:13">
      <c r="A546" t="s">
        <v>383</v>
      </c>
      <c r="B546" t="str">
        <f t="shared" si="32"/>
        <v>Mid-Level</v>
      </c>
      <c r="C546" t="str">
        <f t="shared" si="33"/>
        <v>Data Scientist</v>
      </c>
      <c r="D546">
        <v>2.4</v>
      </c>
      <c r="E546" t="s">
        <v>106</v>
      </c>
      <c r="F546" t="str">
        <f t="shared" si="34"/>
        <v>San Diego</v>
      </c>
      <c r="G546" t="s">
        <v>9</v>
      </c>
      <c r="H546" t="s">
        <v>45</v>
      </c>
      <c r="I546">
        <v>43</v>
      </c>
      <c r="J546">
        <v>98</v>
      </c>
      <c r="K546">
        <v>70.5</v>
      </c>
      <c r="L546" t="str">
        <f t="shared" si="35"/>
        <v>$50–75K</v>
      </c>
      <c r="M546">
        <v>15</v>
      </c>
    </row>
    <row r="547" spans="1:13">
      <c r="A547" t="s">
        <v>385</v>
      </c>
      <c r="B547" t="str">
        <f t="shared" si="32"/>
        <v>Junior</v>
      </c>
      <c r="C547" t="str">
        <f t="shared" si="33"/>
        <v>Data Scientist</v>
      </c>
      <c r="D547">
        <v>2.9</v>
      </c>
      <c r="E547" t="s">
        <v>386</v>
      </c>
      <c r="F547" t="str">
        <f t="shared" si="34"/>
        <v>Ithaca</v>
      </c>
      <c r="G547" t="s">
        <v>19</v>
      </c>
      <c r="H547" t="s">
        <v>45</v>
      </c>
      <c r="I547">
        <v>44</v>
      </c>
      <c r="J547">
        <v>96</v>
      </c>
      <c r="K547">
        <v>70</v>
      </c>
      <c r="L547" t="str">
        <f t="shared" si="35"/>
        <v>$50–75K</v>
      </c>
      <c r="M547">
        <v>6</v>
      </c>
    </row>
    <row r="548" spans="1:13">
      <c r="A548" t="s">
        <v>384</v>
      </c>
      <c r="B548" t="str">
        <f t="shared" si="32"/>
        <v>Management</v>
      </c>
      <c r="C548" t="str">
        <f t="shared" si="33"/>
        <v>DS Manager</v>
      </c>
      <c r="D548">
        <v>4.8</v>
      </c>
      <c r="E548" t="s">
        <v>34</v>
      </c>
      <c r="F548" t="str">
        <f t="shared" si="34"/>
        <v>San Francisco</v>
      </c>
      <c r="G548" t="s">
        <v>22</v>
      </c>
      <c r="H548" t="s">
        <v>76</v>
      </c>
      <c r="I548">
        <v>45</v>
      </c>
      <c r="J548">
        <v>78</v>
      </c>
      <c r="K548">
        <v>61.5</v>
      </c>
      <c r="L548" t="str">
        <f t="shared" si="35"/>
        <v>$50–75K</v>
      </c>
      <c r="M548">
        <v>10</v>
      </c>
    </row>
    <row r="549" spans="1:13">
      <c r="A549" t="s">
        <v>387</v>
      </c>
      <c r="B549" t="str">
        <f t="shared" si="32"/>
        <v>Senior</v>
      </c>
      <c r="C549" t="str">
        <f t="shared" si="33"/>
        <v>Data Scientist</v>
      </c>
      <c r="D549">
        <v>2.9</v>
      </c>
      <c r="E549" t="s">
        <v>388</v>
      </c>
      <c r="F549" t="str">
        <f t="shared" si="34"/>
        <v>Marietta</v>
      </c>
      <c r="G549" t="s">
        <v>19</v>
      </c>
      <c r="H549" t="s">
        <v>45</v>
      </c>
      <c r="I549">
        <v>50</v>
      </c>
      <c r="J549">
        <v>110</v>
      </c>
      <c r="K549">
        <v>80</v>
      </c>
      <c r="L549" t="str">
        <f t="shared" si="35"/>
        <v>$75–100K</v>
      </c>
      <c r="M549">
        <v>6</v>
      </c>
    </row>
    <row r="550" spans="1:13">
      <c r="A550" t="s">
        <v>7</v>
      </c>
      <c r="B550" t="str">
        <f t="shared" si="32"/>
        <v>Mid-Level</v>
      </c>
      <c r="C550" t="str">
        <f t="shared" si="33"/>
        <v>Data Scientist</v>
      </c>
      <c r="D550">
        <v>4.7</v>
      </c>
      <c r="E550" t="s">
        <v>118</v>
      </c>
      <c r="F550" t="str">
        <f t="shared" si="34"/>
        <v>Atlanta</v>
      </c>
      <c r="G550" t="s">
        <v>22</v>
      </c>
      <c r="H550" t="s">
        <v>76</v>
      </c>
      <c r="I550">
        <v>60</v>
      </c>
      <c r="J550">
        <v>99</v>
      </c>
      <c r="K550">
        <v>79.5</v>
      </c>
      <c r="L550" t="str">
        <f t="shared" si="35"/>
        <v>$75–100K</v>
      </c>
      <c r="M550">
        <v>18</v>
      </c>
    </row>
    <row r="551" spans="1:13">
      <c r="A551" t="s">
        <v>480</v>
      </c>
      <c r="B551" t="str">
        <f t="shared" si="32"/>
        <v>Mid-Level</v>
      </c>
      <c r="C551" t="str">
        <f t="shared" si="33"/>
        <v>Data Scientist</v>
      </c>
      <c r="D551">
        <v>4.7</v>
      </c>
      <c r="E551" t="s">
        <v>51</v>
      </c>
      <c r="F551" t="str">
        <f t="shared" si="34"/>
        <v>Mountain View</v>
      </c>
      <c r="G551" t="s">
        <v>9</v>
      </c>
      <c r="H551" t="s">
        <v>76</v>
      </c>
      <c r="I551">
        <v>130</v>
      </c>
      <c r="J551">
        <v>206</v>
      </c>
      <c r="K551">
        <v>168</v>
      </c>
      <c r="L551" t="str">
        <f t="shared" si="35"/>
        <v>&gt;$150K</v>
      </c>
      <c r="M551">
        <v>7</v>
      </c>
    </row>
    <row r="552" spans="1:13">
      <c r="A552" t="s">
        <v>389</v>
      </c>
      <c r="B552" t="str">
        <f t="shared" si="32"/>
        <v>Mid-Level</v>
      </c>
      <c r="C552" t="str">
        <f t="shared" si="33"/>
        <v>Data Engineer</v>
      </c>
      <c r="D552">
        <v>3.4</v>
      </c>
      <c r="E552" t="s">
        <v>390</v>
      </c>
      <c r="F552" t="str">
        <f t="shared" si="34"/>
        <v>Quincy</v>
      </c>
      <c r="G552" t="s">
        <v>19</v>
      </c>
      <c r="H552" t="s">
        <v>55</v>
      </c>
      <c r="I552">
        <v>61</v>
      </c>
      <c r="J552">
        <v>119</v>
      </c>
      <c r="K552">
        <v>90</v>
      </c>
      <c r="L552" t="str">
        <f t="shared" si="35"/>
        <v>$75–100K</v>
      </c>
      <c r="M552">
        <v>33</v>
      </c>
    </row>
    <row r="553" spans="1:13">
      <c r="A553" t="s">
        <v>391</v>
      </c>
      <c r="B553" t="str">
        <f t="shared" si="32"/>
        <v>Mid-Level</v>
      </c>
      <c r="C553" t="str">
        <f t="shared" si="33"/>
        <v>Research Scientist</v>
      </c>
      <c r="D553">
        <v>-1</v>
      </c>
      <c r="E553" t="s">
        <v>44</v>
      </c>
      <c r="F553" t="str">
        <f t="shared" si="34"/>
        <v>Cambridge</v>
      </c>
      <c r="G553" t="s">
        <v>89</v>
      </c>
      <c r="H553">
        <v>-1</v>
      </c>
      <c r="I553">
        <v>100</v>
      </c>
      <c r="J553">
        <v>140</v>
      </c>
      <c r="K553">
        <v>120</v>
      </c>
      <c r="L553" t="str">
        <f t="shared" si="35"/>
        <v>$100–125K</v>
      </c>
      <c r="M553">
        <v>-1</v>
      </c>
    </row>
    <row r="554" spans="1:13">
      <c r="A554" t="s">
        <v>169</v>
      </c>
      <c r="B554" t="str">
        <f t="shared" si="32"/>
        <v>Senior</v>
      </c>
      <c r="C554" t="str">
        <f t="shared" si="33"/>
        <v>Data Analyst</v>
      </c>
      <c r="D554">
        <v>3.9</v>
      </c>
      <c r="E554" t="s">
        <v>34</v>
      </c>
      <c r="F554" t="str">
        <f t="shared" si="34"/>
        <v>San Francisco</v>
      </c>
      <c r="G554" t="s">
        <v>22</v>
      </c>
      <c r="H554" t="s">
        <v>76</v>
      </c>
      <c r="I554">
        <v>99</v>
      </c>
      <c r="J554">
        <v>178</v>
      </c>
      <c r="K554">
        <v>138.5</v>
      </c>
      <c r="L554" t="str">
        <f t="shared" si="35"/>
        <v>$125–150K</v>
      </c>
      <c r="M554">
        <v>13</v>
      </c>
    </row>
    <row r="555" spans="1:13">
      <c r="A555" t="s">
        <v>481</v>
      </c>
      <c r="B555" t="str">
        <f t="shared" si="32"/>
        <v>Senior</v>
      </c>
      <c r="C555" t="str">
        <f t="shared" si="33"/>
        <v>Data Scientist</v>
      </c>
      <c r="D555">
        <v>3.6</v>
      </c>
      <c r="E555" t="s">
        <v>482</v>
      </c>
      <c r="F555" t="str">
        <f t="shared" si="34"/>
        <v>Plymouth Meeting</v>
      </c>
      <c r="G555" t="s">
        <v>14</v>
      </c>
      <c r="H555" t="s">
        <v>45</v>
      </c>
      <c r="I555">
        <v>86</v>
      </c>
      <c r="J555">
        <v>137</v>
      </c>
      <c r="K555">
        <v>111.5</v>
      </c>
      <c r="L555" t="str">
        <f t="shared" si="35"/>
        <v>$100–125K</v>
      </c>
      <c r="M555">
        <v>4</v>
      </c>
    </row>
    <row r="556" spans="1:13">
      <c r="A556" t="s">
        <v>483</v>
      </c>
      <c r="B556" t="str">
        <f t="shared" si="32"/>
        <v>Management</v>
      </c>
      <c r="C556" t="str">
        <f t="shared" si="33"/>
        <v>DS Manager</v>
      </c>
      <c r="D556">
        <v>3.6</v>
      </c>
      <c r="E556" t="s">
        <v>102</v>
      </c>
      <c r="F556" t="str">
        <f t="shared" si="34"/>
        <v>Boston</v>
      </c>
      <c r="G556" t="s">
        <v>38</v>
      </c>
      <c r="H556" t="s">
        <v>55</v>
      </c>
      <c r="I556">
        <v>37</v>
      </c>
      <c r="J556">
        <v>100</v>
      </c>
      <c r="K556">
        <v>68.5</v>
      </c>
      <c r="L556" t="str">
        <f t="shared" si="35"/>
        <v>$50–75K</v>
      </c>
      <c r="M556">
        <v>170</v>
      </c>
    </row>
    <row r="557" spans="1:13">
      <c r="A557" t="s">
        <v>484</v>
      </c>
      <c r="B557" t="str">
        <f t="shared" si="32"/>
        <v>Senior</v>
      </c>
      <c r="C557" t="str">
        <f t="shared" si="33"/>
        <v>Data Scientist</v>
      </c>
      <c r="D557">
        <v>3.9</v>
      </c>
      <c r="E557" t="s">
        <v>44</v>
      </c>
      <c r="F557" t="str">
        <f t="shared" si="34"/>
        <v>Cambridge</v>
      </c>
      <c r="G557" t="s">
        <v>14</v>
      </c>
      <c r="H557" t="s">
        <v>45</v>
      </c>
      <c r="I557">
        <v>58</v>
      </c>
      <c r="J557">
        <v>111</v>
      </c>
      <c r="K557">
        <v>84.5</v>
      </c>
      <c r="L557" t="str">
        <f t="shared" si="35"/>
        <v>$75–100K</v>
      </c>
      <c r="M557">
        <v>191</v>
      </c>
    </row>
    <row r="558" spans="1:13">
      <c r="A558" t="s">
        <v>180</v>
      </c>
      <c r="B558" t="str">
        <f t="shared" si="32"/>
        <v>Senior</v>
      </c>
      <c r="C558" t="str">
        <f t="shared" si="33"/>
        <v>Data Engineer</v>
      </c>
      <c r="D558">
        <v>4.4000000000000004</v>
      </c>
      <c r="E558" t="s">
        <v>302</v>
      </c>
      <c r="F558" t="str">
        <f t="shared" si="34"/>
        <v>Nashville</v>
      </c>
      <c r="G558" t="s">
        <v>19</v>
      </c>
      <c r="H558" t="s">
        <v>33</v>
      </c>
      <c r="I558">
        <v>72</v>
      </c>
      <c r="J558">
        <v>133</v>
      </c>
      <c r="K558">
        <v>102.5</v>
      </c>
      <c r="L558" t="str">
        <f t="shared" si="35"/>
        <v>$100–125K</v>
      </c>
      <c r="M558">
        <v>15</v>
      </c>
    </row>
    <row r="559" spans="1:13">
      <c r="A559" t="s">
        <v>392</v>
      </c>
      <c r="B559" t="str">
        <f t="shared" si="32"/>
        <v>Mid-Level</v>
      </c>
      <c r="C559" t="str">
        <f t="shared" si="33"/>
        <v>Data Scientist</v>
      </c>
      <c r="D559">
        <v>2.6</v>
      </c>
      <c r="E559" t="s">
        <v>133</v>
      </c>
      <c r="F559" t="str">
        <f t="shared" si="34"/>
        <v>Pittsburgh</v>
      </c>
      <c r="G559" t="s">
        <v>9</v>
      </c>
      <c r="H559" t="s">
        <v>208</v>
      </c>
      <c r="I559">
        <v>56</v>
      </c>
      <c r="J559">
        <v>91</v>
      </c>
      <c r="K559">
        <v>73.5</v>
      </c>
      <c r="L559" t="str">
        <f t="shared" si="35"/>
        <v>$50–75K</v>
      </c>
      <c r="M559">
        <v>37</v>
      </c>
    </row>
    <row r="560" spans="1:13">
      <c r="A560" t="s">
        <v>485</v>
      </c>
      <c r="B560" t="str">
        <f t="shared" si="32"/>
        <v>Mid-Level</v>
      </c>
      <c r="C560" t="str">
        <f t="shared" si="33"/>
        <v>Research Scientist</v>
      </c>
      <c r="D560">
        <v>3.6</v>
      </c>
      <c r="E560" t="s">
        <v>96</v>
      </c>
      <c r="F560" t="str">
        <f t="shared" si="34"/>
        <v>Beavercreek</v>
      </c>
      <c r="G560" t="s">
        <v>9</v>
      </c>
      <c r="H560" t="s">
        <v>156</v>
      </c>
      <c r="I560">
        <v>61</v>
      </c>
      <c r="J560">
        <v>126</v>
      </c>
      <c r="K560">
        <v>93.5</v>
      </c>
      <c r="L560" t="str">
        <f t="shared" si="35"/>
        <v>$75–100K</v>
      </c>
      <c r="M560">
        <v>54</v>
      </c>
    </row>
    <row r="561" spans="1:13">
      <c r="A561" t="s">
        <v>486</v>
      </c>
      <c r="B561" t="str">
        <f t="shared" si="32"/>
        <v>Management</v>
      </c>
      <c r="C561" t="str">
        <f t="shared" si="33"/>
        <v>DS Manager</v>
      </c>
      <c r="D561">
        <v>3.2</v>
      </c>
      <c r="E561" t="s">
        <v>487</v>
      </c>
      <c r="F561" t="str">
        <f t="shared" si="34"/>
        <v>Allentown</v>
      </c>
      <c r="G561" s="1">
        <v>18264</v>
      </c>
      <c r="H561" t="s">
        <v>121</v>
      </c>
      <c r="I561">
        <v>95</v>
      </c>
      <c r="J561">
        <v>160</v>
      </c>
      <c r="K561">
        <v>127.5</v>
      </c>
      <c r="L561" t="str">
        <f t="shared" si="35"/>
        <v>$125–150K</v>
      </c>
      <c r="M561">
        <v>-1</v>
      </c>
    </row>
    <row r="562" spans="1:13">
      <c r="A562" t="s">
        <v>488</v>
      </c>
      <c r="B562" t="str">
        <f t="shared" si="32"/>
        <v>Mid-Level</v>
      </c>
      <c r="C562" t="str">
        <f t="shared" si="33"/>
        <v>Data Analyst</v>
      </c>
      <c r="D562">
        <v>4.2</v>
      </c>
      <c r="E562" t="s">
        <v>204</v>
      </c>
      <c r="F562" t="str">
        <f t="shared" si="34"/>
        <v>Salt Lake City</v>
      </c>
      <c r="G562" t="s">
        <v>14</v>
      </c>
      <c r="H562" t="s">
        <v>205</v>
      </c>
      <c r="I562">
        <v>53</v>
      </c>
      <c r="J562">
        <v>91</v>
      </c>
      <c r="K562">
        <v>72</v>
      </c>
      <c r="L562" t="str">
        <f t="shared" si="35"/>
        <v>$50–75K</v>
      </c>
      <c r="M562">
        <v>-1</v>
      </c>
    </row>
    <row r="563" spans="1:13">
      <c r="A563" t="s">
        <v>393</v>
      </c>
      <c r="B563" t="str">
        <f t="shared" si="32"/>
        <v>Mid-Level</v>
      </c>
      <c r="C563" t="str">
        <f t="shared" si="33"/>
        <v>Data Scientist</v>
      </c>
      <c r="D563">
        <v>3.6</v>
      </c>
      <c r="E563" t="s">
        <v>102</v>
      </c>
      <c r="F563" t="str">
        <f t="shared" si="34"/>
        <v>Boston</v>
      </c>
      <c r="G563" t="s">
        <v>38</v>
      </c>
      <c r="H563" t="s">
        <v>55</v>
      </c>
      <c r="I563">
        <v>101</v>
      </c>
      <c r="J563">
        <v>158</v>
      </c>
      <c r="K563">
        <v>129.5</v>
      </c>
      <c r="L563" t="str">
        <f t="shared" si="35"/>
        <v>$125–150K</v>
      </c>
      <c r="M563">
        <v>170</v>
      </c>
    </row>
    <row r="564" spans="1:13">
      <c r="A564" t="s">
        <v>489</v>
      </c>
      <c r="B564" t="str">
        <f t="shared" si="32"/>
        <v>Mid-Level</v>
      </c>
      <c r="C564" t="str">
        <f t="shared" si="33"/>
        <v>Data Analyst</v>
      </c>
      <c r="D564">
        <v>3.1</v>
      </c>
      <c r="E564" t="s">
        <v>490</v>
      </c>
      <c r="F564" t="str">
        <f t="shared" si="34"/>
        <v>Logan</v>
      </c>
      <c r="G564" t="s">
        <v>19</v>
      </c>
      <c r="H564" t="s">
        <v>86</v>
      </c>
      <c r="I564">
        <v>33</v>
      </c>
      <c r="J564">
        <v>61</v>
      </c>
      <c r="K564">
        <v>47</v>
      </c>
      <c r="L564" t="str">
        <f t="shared" si="35"/>
        <v>&lt;$50K</v>
      </c>
      <c r="M564">
        <v>44</v>
      </c>
    </row>
    <row r="565" spans="1:13">
      <c r="A565" t="s">
        <v>491</v>
      </c>
      <c r="B565" t="str">
        <f t="shared" si="32"/>
        <v>Mid-Level</v>
      </c>
      <c r="C565" t="str">
        <f t="shared" si="33"/>
        <v>Data Engineer</v>
      </c>
      <c r="D565">
        <v>3.8</v>
      </c>
      <c r="E565" t="s">
        <v>492</v>
      </c>
      <c r="F565" t="str">
        <f t="shared" si="34"/>
        <v>Birmingham</v>
      </c>
      <c r="G565" t="s">
        <v>9</v>
      </c>
      <c r="H565" t="s">
        <v>467</v>
      </c>
      <c r="I565">
        <v>44</v>
      </c>
      <c r="J565">
        <v>86</v>
      </c>
      <c r="K565">
        <v>65</v>
      </c>
      <c r="L565" t="str">
        <f t="shared" si="35"/>
        <v>$50–75K</v>
      </c>
      <c r="M565">
        <v>7</v>
      </c>
    </row>
    <row r="566" spans="1:13">
      <c r="A566" t="s">
        <v>395</v>
      </c>
      <c r="B566" t="str">
        <f t="shared" si="32"/>
        <v>Mid-Level</v>
      </c>
      <c r="C566" t="str">
        <f t="shared" si="33"/>
        <v>Data Analyst</v>
      </c>
      <c r="D566">
        <v>3.8</v>
      </c>
      <c r="E566" t="s">
        <v>396</v>
      </c>
      <c r="F566" t="str">
        <f t="shared" si="34"/>
        <v>Green Bay</v>
      </c>
      <c r="G566" t="s">
        <v>19</v>
      </c>
      <c r="H566" t="s">
        <v>27</v>
      </c>
      <c r="I566">
        <v>43</v>
      </c>
      <c r="J566">
        <v>77</v>
      </c>
      <c r="K566">
        <v>60</v>
      </c>
      <c r="L566" t="str">
        <f t="shared" si="35"/>
        <v>$50–75K</v>
      </c>
      <c r="M566">
        <v>151</v>
      </c>
    </row>
    <row r="567" spans="1:13">
      <c r="A567" t="s">
        <v>394</v>
      </c>
      <c r="B567" t="str">
        <f t="shared" si="32"/>
        <v>Senior</v>
      </c>
      <c r="C567" t="str">
        <f t="shared" si="33"/>
        <v>DS Manager</v>
      </c>
      <c r="D567">
        <v>4</v>
      </c>
      <c r="E567" t="s">
        <v>21</v>
      </c>
      <c r="F567" t="str">
        <f t="shared" si="34"/>
        <v>New York</v>
      </c>
      <c r="G567" t="s">
        <v>14</v>
      </c>
      <c r="H567" t="s">
        <v>45</v>
      </c>
      <c r="I567">
        <v>125</v>
      </c>
      <c r="J567">
        <v>210</v>
      </c>
      <c r="K567">
        <v>167.5</v>
      </c>
      <c r="L567" t="str">
        <f t="shared" si="35"/>
        <v>&gt;$150K</v>
      </c>
      <c r="M567">
        <v>172</v>
      </c>
    </row>
    <row r="568" spans="1:13">
      <c r="A568" t="s">
        <v>397</v>
      </c>
      <c r="B568" t="str">
        <f t="shared" si="32"/>
        <v>Mid-Level</v>
      </c>
      <c r="C568" t="str">
        <f t="shared" si="33"/>
        <v>Data Analyst</v>
      </c>
      <c r="D568">
        <v>3.8</v>
      </c>
      <c r="E568" t="s">
        <v>21</v>
      </c>
      <c r="F568" t="str">
        <f t="shared" si="34"/>
        <v>New York</v>
      </c>
      <c r="G568" t="s">
        <v>19</v>
      </c>
      <c r="H568" t="s">
        <v>201</v>
      </c>
      <c r="I568">
        <v>44</v>
      </c>
      <c r="J568">
        <v>86</v>
      </c>
      <c r="K568">
        <v>65</v>
      </c>
      <c r="L568" t="str">
        <f t="shared" si="35"/>
        <v>$50–75K</v>
      </c>
      <c r="M568">
        <v>19</v>
      </c>
    </row>
    <row r="569" spans="1:13">
      <c r="A569" t="s">
        <v>169</v>
      </c>
      <c r="B569" t="str">
        <f t="shared" si="32"/>
        <v>Senior</v>
      </c>
      <c r="C569" t="str">
        <f t="shared" si="33"/>
        <v>Data Analyst</v>
      </c>
      <c r="D569">
        <v>4</v>
      </c>
      <c r="E569" t="s">
        <v>37</v>
      </c>
      <c r="F569" t="str">
        <f t="shared" si="34"/>
        <v>Herndon</v>
      </c>
      <c r="G569" t="s">
        <v>9</v>
      </c>
      <c r="H569" t="s">
        <v>52</v>
      </c>
      <c r="I569">
        <v>69</v>
      </c>
      <c r="J569">
        <v>119</v>
      </c>
      <c r="K569">
        <v>94</v>
      </c>
      <c r="L569" t="str">
        <f t="shared" si="35"/>
        <v>$75–100K</v>
      </c>
      <c r="M569">
        <v>9</v>
      </c>
    </row>
    <row r="570" spans="1:13">
      <c r="A570" t="s">
        <v>169</v>
      </c>
      <c r="B570" t="str">
        <f t="shared" si="32"/>
        <v>Senior</v>
      </c>
      <c r="C570" t="str">
        <f t="shared" si="33"/>
        <v>Data Analyst</v>
      </c>
      <c r="D570">
        <v>1.9</v>
      </c>
      <c r="E570" t="s">
        <v>21</v>
      </c>
      <c r="F570" t="str">
        <f t="shared" si="34"/>
        <v>New York</v>
      </c>
      <c r="G570" t="s">
        <v>25</v>
      </c>
      <c r="H570" t="s">
        <v>42</v>
      </c>
      <c r="I570">
        <v>65</v>
      </c>
      <c r="J570">
        <v>110</v>
      </c>
      <c r="K570">
        <v>87.5</v>
      </c>
      <c r="L570" t="str">
        <f t="shared" si="35"/>
        <v>$75–100K</v>
      </c>
      <c r="M570">
        <v>11</v>
      </c>
    </row>
    <row r="571" spans="1:13">
      <c r="A571" t="s">
        <v>180</v>
      </c>
      <c r="B571" t="str">
        <f t="shared" si="32"/>
        <v>Senior</v>
      </c>
      <c r="C571" t="str">
        <f t="shared" si="33"/>
        <v>Data Engineer</v>
      </c>
      <c r="D571">
        <v>4</v>
      </c>
      <c r="E571" t="s">
        <v>132</v>
      </c>
      <c r="F571" t="str">
        <f t="shared" si="34"/>
        <v>Reston</v>
      </c>
      <c r="G571" t="s">
        <v>9</v>
      </c>
      <c r="H571" t="s">
        <v>52</v>
      </c>
      <c r="I571">
        <v>67</v>
      </c>
      <c r="J571">
        <v>127</v>
      </c>
      <c r="K571">
        <v>97</v>
      </c>
      <c r="L571" t="str">
        <f t="shared" si="35"/>
        <v>$75–100K</v>
      </c>
      <c r="M571">
        <v>9</v>
      </c>
    </row>
    <row r="572" spans="1:13">
      <c r="A572" t="s">
        <v>180</v>
      </c>
      <c r="B572" t="str">
        <f t="shared" si="32"/>
        <v>Senior</v>
      </c>
      <c r="C572" t="str">
        <f t="shared" si="33"/>
        <v>Data Engineer</v>
      </c>
      <c r="D572">
        <v>4.3</v>
      </c>
      <c r="E572" t="s">
        <v>398</v>
      </c>
      <c r="F572" t="str">
        <f t="shared" si="34"/>
        <v>Durham</v>
      </c>
      <c r="G572" t="s">
        <v>38</v>
      </c>
      <c r="H572" t="s">
        <v>76</v>
      </c>
      <c r="I572">
        <v>78</v>
      </c>
      <c r="J572">
        <v>147</v>
      </c>
      <c r="K572">
        <v>112.5</v>
      </c>
      <c r="L572" t="str">
        <f t="shared" si="35"/>
        <v>$100–125K</v>
      </c>
      <c r="M572">
        <v>31</v>
      </c>
    </row>
    <row r="573" spans="1:13">
      <c r="A573" t="s">
        <v>493</v>
      </c>
      <c r="B573" t="str">
        <f t="shared" si="32"/>
        <v>Mid-Level</v>
      </c>
      <c r="C573" t="str">
        <f t="shared" si="33"/>
        <v>Data Scientist</v>
      </c>
      <c r="D573">
        <v>3.6</v>
      </c>
      <c r="E573" t="s">
        <v>102</v>
      </c>
      <c r="F573" t="str">
        <f t="shared" si="34"/>
        <v>Boston</v>
      </c>
      <c r="G573" t="s">
        <v>38</v>
      </c>
      <c r="H573" t="s">
        <v>55</v>
      </c>
      <c r="I573">
        <v>66</v>
      </c>
      <c r="J573">
        <v>117</v>
      </c>
      <c r="K573">
        <v>91.5</v>
      </c>
      <c r="L573" t="str">
        <f t="shared" si="35"/>
        <v>$75–100K</v>
      </c>
      <c r="M573">
        <v>170</v>
      </c>
    </row>
    <row r="574" spans="1:13">
      <c r="A574" t="s">
        <v>399</v>
      </c>
      <c r="B574" t="str">
        <f t="shared" si="32"/>
        <v>Mid-Level</v>
      </c>
      <c r="C574" t="str">
        <f t="shared" si="33"/>
        <v>Data Scientist</v>
      </c>
      <c r="D574">
        <v>3.3</v>
      </c>
      <c r="E574" t="s">
        <v>125</v>
      </c>
      <c r="F574" t="str">
        <f t="shared" si="34"/>
        <v>Indianapolis</v>
      </c>
      <c r="G574" t="s">
        <v>14</v>
      </c>
      <c r="H574" t="s">
        <v>55</v>
      </c>
      <c r="I574">
        <v>37</v>
      </c>
      <c r="J574">
        <v>66</v>
      </c>
      <c r="K574">
        <v>51.5</v>
      </c>
      <c r="L574" t="str">
        <f t="shared" si="35"/>
        <v>$50–75K</v>
      </c>
      <c r="M574">
        <v>109</v>
      </c>
    </row>
    <row r="575" spans="1:13">
      <c r="A575" t="s">
        <v>494</v>
      </c>
      <c r="B575" t="str">
        <f t="shared" si="32"/>
        <v>Mid-Level</v>
      </c>
      <c r="C575" t="str">
        <f t="shared" si="33"/>
        <v>Data Scientist</v>
      </c>
      <c r="D575">
        <v>3.8</v>
      </c>
      <c r="E575" t="s">
        <v>44</v>
      </c>
      <c r="F575" t="str">
        <f t="shared" si="34"/>
        <v>Cambridge</v>
      </c>
      <c r="G575" t="s">
        <v>14</v>
      </c>
      <c r="H575" t="s">
        <v>45</v>
      </c>
      <c r="I575">
        <v>86</v>
      </c>
      <c r="J575">
        <v>143</v>
      </c>
      <c r="K575">
        <v>114.5</v>
      </c>
      <c r="L575" t="str">
        <f t="shared" si="35"/>
        <v>$100–125K</v>
      </c>
      <c r="M575">
        <v>25</v>
      </c>
    </row>
    <row r="576" spans="1:13">
      <c r="A576" t="s">
        <v>7</v>
      </c>
      <c r="B576" t="str">
        <f t="shared" si="32"/>
        <v>Mid-Level</v>
      </c>
      <c r="C576" t="str">
        <f t="shared" si="33"/>
        <v>Data Scientist</v>
      </c>
      <c r="D576">
        <v>4.3</v>
      </c>
      <c r="E576" t="s">
        <v>21</v>
      </c>
      <c r="F576" t="str">
        <f t="shared" si="34"/>
        <v>New York</v>
      </c>
      <c r="G576" t="s">
        <v>25</v>
      </c>
      <c r="H576" t="s">
        <v>30</v>
      </c>
      <c r="I576">
        <v>84</v>
      </c>
      <c r="J576">
        <v>146</v>
      </c>
      <c r="K576">
        <v>115</v>
      </c>
      <c r="L576" t="str">
        <f t="shared" si="35"/>
        <v>$100–125K</v>
      </c>
      <c r="M576">
        <v>10</v>
      </c>
    </row>
    <row r="577" spans="1:13">
      <c r="A577" t="s">
        <v>495</v>
      </c>
      <c r="B577" t="str">
        <f t="shared" si="32"/>
        <v>Management</v>
      </c>
      <c r="C577" t="str">
        <f t="shared" si="33"/>
        <v>DS Manager</v>
      </c>
      <c r="D577">
        <v>3.2</v>
      </c>
      <c r="E577" t="s">
        <v>314</v>
      </c>
      <c r="F577" t="str">
        <f t="shared" si="34"/>
        <v>Phila</v>
      </c>
      <c r="G577" s="1">
        <v>18264</v>
      </c>
      <c r="H577" t="s">
        <v>121</v>
      </c>
      <c r="I577">
        <v>50</v>
      </c>
      <c r="J577">
        <v>98</v>
      </c>
      <c r="K577">
        <v>74</v>
      </c>
      <c r="L577" t="str">
        <f t="shared" si="35"/>
        <v>$50–75K</v>
      </c>
      <c r="M577">
        <v>-1</v>
      </c>
    </row>
    <row r="578" spans="1:13">
      <c r="A578" t="s">
        <v>400</v>
      </c>
      <c r="B578" t="str">
        <f t="shared" si="32"/>
        <v>Junior</v>
      </c>
      <c r="C578" t="str">
        <f t="shared" si="33"/>
        <v>Data Scientist</v>
      </c>
      <c r="D578">
        <v>4.7</v>
      </c>
      <c r="E578" t="s">
        <v>401</v>
      </c>
      <c r="F578" t="str">
        <f t="shared" si="34"/>
        <v>Clovis</v>
      </c>
      <c r="G578" t="s">
        <v>22</v>
      </c>
      <c r="H578" t="s">
        <v>184</v>
      </c>
      <c r="I578">
        <v>38</v>
      </c>
      <c r="J578">
        <v>64</v>
      </c>
      <c r="K578">
        <v>51</v>
      </c>
      <c r="L578" t="str">
        <f t="shared" si="35"/>
        <v>$50–75K</v>
      </c>
      <c r="M578">
        <v>49</v>
      </c>
    </row>
    <row r="579" spans="1:13">
      <c r="A579" t="s">
        <v>403</v>
      </c>
      <c r="B579" t="str">
        <f t="shared" ref="B579:B642" si="36">IF(OR(ISNUMBER(SEARCH("Senior",A579)),ISNUMBER(SEARCH("Sr",A579)),ISNUMBER(SEARCH("Lead",A579)),ISNUMBER(SEARCH("Principal",A579))),"Senior",IF(OR(ISNUMBER(SEARCH("Junior",A579)),ISNUMBER(SEARCH("Jr",A579)),ISNUMBER(SEARCH("Entry",A579)),ISNUMBER(SEARCH("Associate",A579))),"Junior",IF(OR(ISNUMBER(SEARCH("Manager",A579)),ISNUMBER(SEARCH("Director",A579)),ISNUMBER(SEARCH("Head",A579)),ISNUMBER(SEARCH("VP",A579))),"Management","Mid-Level")))</f>
        <v>Senior</v>
      </c>
      <c r="C579" t="str">
        <f t="shared" ref="C579:C642" si="37">IF(ISNUMBER(SEARCH("Machine Learn",A579)),"ML Engineer",IF(ISNUMBER(SEARCH("Data Engineer",A579)),"Data Engineer",IF(ISNUMBER(SEARCH("Data Analyst",A579)),"Data Analyst",IF(ISNUMBER(SEARCH("Business Analyst",A579)),"Business Analyst",IF(ISNUMBER(SEARCH("Research",A579)),"Research Scientist",IF(ISNUMBER(SEARCH("Manager",A579)),"DS Manager",IF(ISNUMBER(SEARCH("Director",A579)),"Director/VP","Data Scientist")))))))</f>
        <v>Data Engineer</v>
      </c>
      <c r="D579">
        <v>3.4</v>
      </c>
      <c r="E579" t="s">
        <v>404</v>
      </c>
      <c r="F579" t="str">
        <f t="shared" ref="F579:F642" si="38">IFERROR(LEFT(E579, FIND(",", E579)-1), E579)</f>
        <v>Chandler</v>
      </c>
      <c r="G579" t="s">
        <v>9</v>
      </c>
      <c r="H579" t="s">
        <v>15</v>
      </c>
      <c r="I579">
        <v>90</v>
      </c>
      <c r="J579">
        <v>110</v>
      </c>
      <c r="K579">
        <v>100</v>
      </c>
      <c r="L579" t="str">
        <f t="shared" ref="L579:L642" si="39">IF(K579&lt;50,"&lt;$50K",IF(K579&lt;75,"$50–75K",IF(K579&lt;100,"$75–100K",IF(K579&lt;125,"$100–125K",IF(K579&lt;150,"$125–150K","&gt;$150K")))))</f>
        <v>$100–125K</v>
      </c>
      <c r="M579">
        <v>40</v>
      </c>
    </row>
    <row r="580" spans="1:13">
      <c r="A580" t="s">
        <v>496</v>
      </c>
      <c r="B580" t="str">
        <f t="shared" si="36"/>
        <v>Senior</v>
      </c>
      <c r="C580" t="str">
        <f t="shared" si="37"/>
        <v>Data Scientist</v>
      </c>
      <c r="D580">
        <v>3.8</v>
      </c>
      <c r="E580" t="s">
        <v>44</v>
      </c>
      <c r="F580" t="str">
        <f t="shared" si="38"/>
        <v>Cambridge</v>
      </c>
      <c r="G580" t="s">
        <v>14</v>
      </c>
      <c r="H580" t="s">
        <v>45</v>
      </c>
      <c r="I580">
        <v>92</v>
      </c>
      <c r="J580">
        <v>150</v>
      </c>
      <c r="K580">
        <v>121</v>
      </c>
      <c r="L580" t="str">
        <f t="shared" si="39"/>
        <v>$100–125K</v>
      </c>
      <c r="M580">
        <v>25</v>
      </c>
    </row>
    <row r="581" spans="1:13">
      <c r="A581" t="s">
        <v>497</v>
      </c>
      <c r="B581" t="str">
        <f t="shared" si="36"/>
        <v>Senior</v>
      </c>
      <c r="C581" t="str">
        <f t="shared" si="37"/>
        <v>Data Analyst</v>
      </c>
      <c r="D581">
        <v>4.5</v>
      </c>
      <c r="E581" t="s">
        <v>34</v>
      </c>
      <c r="F581" t="str">
        <f t="shared" si="38"/>
        <v>San Francisco</v>
      </c>
      <c r="G581" t="s">
        <v>25</v>
      </c>
      <c r="H581" t="s">
        <v>76</v>
      </c>
      <c r="I581">
        <v>90</v>
      </c>
      <c r="J581">
        <v>153</v>
      </c>
      <c r="K581">
        <v>121.5</v>
      </c>
      <c r="L581" t="str">
        <f t="shared" si="39"/>
        <v>$100–125K</v>
      </c>
      <c r="M581">
        <v>15</v>
      </c>
    </row>
    <row r="582" spans="1:13">
      <c r="A582" t="s">
        <v>402</v>
      </c>
      <c r="B582" t="str">
        <f t="shared" si="36"/>
        <v>Junior</v>
      </c>
      <c r="C582" t="str">
        <f t="shared" si="37"/>
        <v>Data Scientist</v>
      </c>
      <c r="D582">
        <v>3.1</v>
      </c>
      <c r="E582" t="s">
        <v>102</v>
      </c>
      <c r="F582" t="str">
        <f t="shared" si="38"/>
        <v>Boston</v>
      </c>
      <c r="G582" t="s">
        <v>14</v>
      </c>
      <c r="H582" t="s">
        <v>27</v>
      </c>
      <c r="I582">
        <v>43</v>
      </c>
      <c r="J582">
        <v>82</v>
      </c>
      <c r="K582">
        <v>62.5</v>
      </c>
      <c r="L582" t="str">
        <f t="shared" si="39"/>
        <v>$50–75K</v>
      </c>
      <c r="M582">
        <v>165</v>
      </c>
    </row>
    <row r="583" spans="1:13">
      <c r="A583" t="s">
        <v>498</v>
      </c>
      <c r="B583" t="str">
        <f t="shared" si="36"/>
        <v>Mid-Level</v>
      </c>
      <c r="C583" t="str">
        <f t="shared" si="37"/>
        <v>Data Scientist</v>
      </c>
      <c r="D583">
        <v>-1</v>
      </c>
      <c r="E583" t="s">
        <v>44</v>
      </c>
      <c r="F583" t="str">
        <f t="shared" si="38"/>
        <v>Cambridge</v>
      </c>
      <c r="G583" t="s">
        <v>89</v>
      </c>
      <c r="H583">
        <v>-1</v>
      </c>
      <c r="I583">
        <v>100</v>
      </c>
      <c r="J583">
        <v>135</v>
      </c>
      <c r="K583">
        <v>117.5</v>
      </c>
      <c r="L583" t="str">
        <f t="shared" si="39"/>
        <v>$100–125K</v>
      </c>
      <c r="M583">
        <v>-1</v>
      </c>
    </row>
    <row r="584" spans="1:13">
      <c r="A584" t="s">
        <v>406</v>
      </c>
      <c r="B584" t="str">
        <f t="shared" si="36"/>
        <v>Senior</v>
      </c>
      <c r="C584" t="str">
        <f t="shared" si="37"/>
        <v>Data Scientist</v>
      </c>
      <c r="D584">
        <v>3.9</v>
      </c>
      <c r="E584" t="s">
        <v>407</v>
      </c>
      <c r="F584" t="str">
        <f t="shared" si="38"/>
        <v>Orlando</v>
      </c>
      <c r="G584" t="s">
        <v>25</v>
      </c>
      <c r="H584" t="s">
        <v>76</v>
      </c>
      <c r="I584">
        <v>93</v>
      </c>
      <c r="J584">
        <v>151</v>
      </c>
      <c r="K584">
        <v>122</v>
      </c>
      <c r="L584" t="str">
        <f t="shared" si="39"/>
        <v>$100–125K</v>
      </c>
      <c r="M584">
        <v>9</v>
      </c>
    </row>
    <row r="585" spans="1:13">
      <c r="A585" t="s">
        <v>80</v>
      </c>
      <c r="B585" t="str">
        <f t="shared" si="36"/>
        <v>Mid-Level</v>
      </c>
      <c r="C585" t="str">
        <f t="shared" si="37"/>
        <v>Data Engineer</v>
      </c>
      <c r="D585">
        <v>4.4000000000000004</v>
      </c>
      <c r="E585" t="s">
        <v>36</v>
      </c>
      <c r="F585" t="str">
        <f t="shared" si="38"/>
        <v>Chantilly</v>
      </c>
      <c r="G585" t="s">
        <v>22</v>
      </c>
      <c r="H585" t="s">
        <v>74</v>
      </c>
      <c r="I585">
        <v>61</v>
      </c>
      <c r="J585">
        <v>109</v>
      </c>
      <c r="K585">
        <v>85</v>
      </c>
      <c r="L585" t="str">
        <f t="shared" si="39"/>
        <v>$75–100K</v>
      </c>
      <c r="M585">
        <v>17</v>
      </c>
    </row>
    <row r="586" spans="1:13">
      <c r="A586" t="s">
        <v>80</v>
      </c>
      <c r="B586" t="str">
        <f t="shared" si="36"/>
        <v>Mid-Level</v>
      </c>
      <c r="C586" t="str">
        <f t="shared" si="37"/>
        <v>Data Engineer</v>
      </c>
      <c r="D586">
        <v>3.4</v>
      </c>
      <c r="E586" t="s">
        <v>499</v>
      </c>
      <c r="F586" t="str">
        <f t="shared" si="38"/>
        <v>Scottsdale</v>
      </c>
      <c r="G586" t="s">
        <v>9</v>
      </c>
      <c r="H586" t="s">
        <v>74</v>
      </c>
      <c r="I586">
        <v>42</v>
      </c>
      <c r="J586">
        <v>79</v>
      </c>
      <c r="K586">
        <v>60.5</v>
      </c>
      <c r="L586" t="str">
        <f t="shared" si="39"/>
        <v>$50–75K</v>
      </c>
      <c r="M586">
        <v>19</v>
      </c>
    </row>
    <row r="587" spans="1:13">
      <c r="A587" t="s">
        <v>90</v>
      </c>
      <c r="B587" t="str">
        <f t="shared" si="36"/>
        <v>Senior</v>
      </c>
      <c r="C587" t="str">
        <f t="shared" si="37"/>
        <v>Data Scientist</v>
      </c>
      <c r="D587">
        <v>3.9</v>
      </c>
      <c r="E587" t="s">
        <v>251</v>
      </c>
      <c r="F587" t="str">
        <f t="shared" si="38"/>
        <v>Burbank</v>
      </c>
      <c r="G587" t="s">
        <v>22</v>
      </c>
      <c r="H587" t="s">
        <v>148</v>
      </c>
      <c r="I587">
        <v>139</v>
      </c>
      <c r="J587">
        <v>221</v>
      </c>
      <c r="K587">
        <v>180</v>
      </c>
      <c r="L587" t="str">
        <f t="shared" si="39"/>
        <v>&gt;$150K</v>
      </c>
      <c r="M587">
        <v>12</v>
      </c>
    </row>
    <row r="588" spans="1:13">
      <c r="A588" t="s">
        <v>409</v>
      </c>
      <c r="B588" t="str">
        <f t="shared" si="36"/>
        <v>Mid-Level</v>
      </c>
      <c r="C588" t="str">
        <f t="shared" si="37"/>
        <v>Data Scientist</v>
      </c>
      <c r="D588">
        <v>4.7</v>
      </c>
      <c r="E588" t="s">
        <v>410</v>
      </c>
      <c r="F588" t="str">
        <f t="shared" si="38"/>
        <v>Columbia</v>
      </c>
      <c r="G588" t="s">
        <v>19</v>
      </c>
      <c r="H588" t="s">
        <v>250</v>
      </c>
      <c r="I588">
        <v>40</v>
      </c>
      <c r="J588">
        <v>101</v>
      </c>
      <c r="K588">
        <v>70.5</v>
      </c>
      <c r="L588" t="str">
        <f t="shared" si="39"/>
        <v>$50–75K</v>
      </c>
      <c r="M588">
        <v>19</v>
      </c>
    </row>
    <row r="589" spans="1:13">
      <c r="A589" t="s">
        <v>341</v>
      </c>
      <c r="B589" t="str">
        <f t="shared" si="36"/>
        <v>Mid-Level</v>
      </c>
      <c r="C589" t="str">
        <f t="shared" si="37"/>
        <v>Data Engineer</v>
      </c>
      <c r="D589">
        <v>3.3</v>
      </c>
      <c r="E589" t="s">
        <v>36</v>
      </c>
      <c r="F589" t="str">
        <f t="shared" si="38"/>
        <v>Chantilly</v>
      </c>
      <c r="G589" t="s">
        <v>19</v>
      </c>
      <c r="H589" t="s">
        <v>10</v>
      </c>
      <c r="I589">
        <v>84</v>
      </c>
      <c r="J589">
        <v>153</v>
      </c>
      <c r="K589">
        <v>118.5</v>
      </c>
      <c r="L589" t="str">
        <f t="shared" si="39"/>
        <v>$100–125K</v>
      </c>
      <c r="M589">
        <v>4</v>
      </c>
    </row>
    <row r="590" spans="1:13">
      <c r="A590" t="s">
        <v>408</v>
      </c>
      <c r="B590" t="str">
        <f t="shared" si="36"/>
        <v>Mid-Level</v>
      </c>
      <c r="C590" t="str">
        <f t="shared" si="37"/>
        <v>Data Scientist</v>
      </c>
      <c r="D590">
        <v>3.9</v>
      </c>
      <c r="E590" t="s">
        <v>59</v>
      </c>
      <c r="F590" t="str">
        <f t="shared" si="38"/>
        <v>Chicago</v>
      </c>
      <c r="G590" t="s">
        <v>9</v>
      </c>
      <c r="H590" t="s">
        <v>52</v>
      </c>
      <c r="I590">
        <v>52</v>
      </c>
      <c r="J590">
        <v>81</v>
      </c>
      <c r="K590">
        <v>66.5</v>
      </c>
      <c r="L590" t="str">
        <f t="shared" si="39"/>
        <v>$50–75K</v>
      </c>
      <c r="M590">
        <v>26</v>
      </c>
    </row>
    <row r="591" spans="1:13">
      <c r="A591" t="s">
        <v>411</v>
      </c>
      <c r="B591" t="str">
        <f t="shared" si="36"/>
        <v>Mid-Level</v>
      </c>
      <c r="C591" t="str">
        <f t="shared" si="37"/>
        <v>Data Scientist</v>
      </c>
      <c r="D591">
        <v>3.4</v>
      </c>
      <c r="E591" t="s">
        <v>102</v>
      </c>
      <c r="F591" t="str">
        <f t="shared" si="38"/>
        <v>Boston</v>
      </c>
      <c r="G591" t="s">
        <v>19</v>
      </c>
      <c r="H591" t="s">
        <v>30</v>
      </c>
      <c r="I591">
        <v>81</v>
      </c>
      <c r="J591">
        <v>134</v>
      </c>
      <c r="K591">
        <v>107.5</v>
      </c>
      <c r="L591" t="str">
        <f t="shared" si="39"/>
        <v>$100–125K</v>
      </c>
      <c r="M591">
        <v>78</v>
      </c>
    </row>
    <row r="592" spans="1:13">
      <c r="A592" t="s">
        <v>180</v>
      </c>
      <c r="B592" t="str">
        <f t="shared" si="36"/>
        <v>Senior</v>
      </c>
      <c r="C592" t="str">
        <f t="shared" si="37"/>
        <v>Data Engineer</v>
      </c>
      <c r="D592">
        <v>4.7</v>
      </c>
      <c r="E592" t="s">
        <v>307</v>
      </c>
      <c r="F592" t="str">
        <f t="shared" si="38"/>
        <v>Austin</v>
      </c>
      <c r="G592" t="s">
        <v>22</v>
      </c>
      <c r="H592" t="s">
        <v>17</v>
      </c>
      <c r="I592">
        <v>97</v>
      </c>
      <c r="J592">
        <v>180</v>
      </c>
      <c r="K592">
        <v>138.5</v>
      </c>
      <c r="L592" t="str">
        <f t="shared" si="39"/>
        <v>$125–150K</v>
      </c>
      <c r="M592">
        <v>11</v>
      </c>
    </row>
    <row r="593" spans="1:13">
      <c r="A593" t="s">
        <v>413</v>
      </c>
      <c r="B593" t="str">
        <f t="shared" si="36"/>
        <v>Mid-Level</v>
      </c>
      <c r="C593" t="str">
        <f t="shared" si="37"/>
        <v>Data Scientist</v>
      </c>
      <c r="D593">
        <v>2.7</v>
      </c>
      <c r="E593" t="s">
        <v>176</v>
      </c>
      <c r="F593" t="str">
        <f t="shared" si="38"/>
        <v>Rockville</v>
      </c>
      <c r="G593" t="s">
        <v>25</v>
      </c>
      <c r="H593" t="s">
        <v>45</v>
      </c>
      <c r="I593">
        <v>49</v>
      </c>
      <c r="J593">
        <v>113</v>
      </c>
      <c r="K593">
        <v>81</v>
      </c>
      <c r="L593" t="str">
        <f t="shared" si="39"/>
        <v>$75–100K</v>
      </c>
      <c r="M593">
        <v>60</v>
      </c>
    </row>
    <row r="594" spans="1:13">
      <c r="A594" t="s">
        <v>500</v>
      </c>
      <c r="B594" t="str">
        <f t="shared" si="36"/>
        <v>Mid-Level</v>
      </c>
      <c r="C594" t="str">
        <f t="shared" si="37"/>
        <v>Data Engineer</v>
      </c>
      <c r="D594">
        <v>3.8</v>
      </c>
      <c r="E594" t="s">
        <v>501</v>
      </c>
      <c r="F594" t="str">
        <f t="shared" si="38"/>
        <v>Bloomington</v>
      </c>
      <c r="G594" t="s">
        <v>19</v>
      </c>
      <c r="H594" t="s">
        <v>55</v>
      </c>
      <c r="I594">
        <v>44</v>
      </c>
      <c r="J594">
        <v>73</v>
      </c>
      <c r="K594">
        <v>58.5</v>
      </c>
      <c r="L594" t="str">
        <f t="shared" si="39"/>
        <v>$50–75K</v>
      </c>
      <c r="M594">
        <v>96</v>
      </c>
    </row>
    <row r="595" spans="1:13">
      <c r="A595" t="s">
        <v>284</v>
      </c>
      <c r="B595" t="str">
        <f t="shared" si="36"/>
        <v>Senior</v>
      </c>
      <c r="C595" t="str">
        <f t="shared" si="37"/>
        <v>Data Engineer</v>
      </c>
      <c r="D595">
        <v>3.4</v>
      </c>
      <c r="E595" t="s">
        <v>59</v>
      </c>
      <c r="F595" t="str">
        <f t="shared" si="38"/>
        <v>Chicago</v>
      </c>
      <c r="G595" t="s">
        <v>19</v>
      </c>
      <c r="H595" t="s">
        <v>285</v>
      </c>
      <c r="I595">
        <v>75</v>
      </c>
      <c r="J595">
        <v>140</v>
      </c>
      <c r="K595">
        <v>107.5</v>
      </c>
      <c r="L595" t="str">
        <f t="shared" si="39"/>
        <v>$100–125K</v>
      </c>
      <c r="M595">
        <v>16</v>
      </c>
    </row>
    <row r="596" spans="1:13">
      <c r="A596" t="s">
        <v>412</v>
      </c>
      <c r="B596" t="str">
        <f t="shared" si="36"/>
        <v>Mid-Level</v>
      </c>
      <c r="C596" t="str">
        <f t="shared" si="37"/>
        <v>Data Scientist</v>
      </c>
      <c r="D596">
        <v>3.8</v>
      </c>
      <c r="E596" t="s">
        <v>44</v>
      </c>
      <c r="F596" t="str">
        <f t="shared" si="38"/>
        <v>Cambridge</v>
      </c>
      <c r="G596" t="s">
        <v>9</v>
      </c>
      <c r="H596" t="s">
        <v>45</v>
      </c>
      <c r="I596">
        <v>84</v>
      </c>
      <c r="J596">
        <v>157</v>
      </c>
      <c r="K596">
        <v>120.5</v>
      </c>
      <c r="L596" t="str">
        <f t="shared" si="39"/>
        <v>$100–125K</v>
      </c>
      <c r="M596">
        <v>13</v>
      </c>
    </row>
    <row r="597" spans="1:13">
      <c r="A597" t="s">
        <v>502</v>
      </c>
      <c r="B597" t="str">
        <f t="shared" si="36"/>
        <v>Management</v>
      </c>
      <c r="C597" t="str">
        <f t="shared" si="37"/>
        <v>DS Manager</v>
      </c>
      <c r="D597">
        <v>3.9</v>
      </c>
      <c r="E597" t="s">
        <v>34</v>
      </c>
      <c r="F597" t="str">
        <f t="shared" si="38"/>
        <v>San Francisco</v>
      </c>
      <c r="G597" t="s">
        <v>25</v>
      </c>
      <c r="H597" t="s">
        <v>33</v>
      </c>
      <c r="I597">
        <v>40</v>
      </c>
      <c r="J597">
        <v>87</v>
      </c>
      <c r="K597">
        <v>63.5</v>
      </c>
      <c r="L597" t="str">
        <f t="shared" si="39"/>
        <v>$50–75K</v>
      </c>
      <c r="M597">
        <v>14</v>
      </c>
    </row>
    <row r="598" spans="1:13">
      <c r="A598" t="s">
        <v>414</v>
      </c>
      <c r="B598" t="str">
        <f t="shared" si="36"/>
        <v>Mid-Level</v>
      </c>
      <c r="C598" t="str">
        <f t="shared" si="37"/>
        <v>Data Scientist</v>
      </c>
      <c r="D598">
        <v>3.1</v>
      </c>
      <c r="E598" t="s">
        <v>355</v>
      </c>
      <c r="F598" t="str">
        <f t="shared" si="38"/>
        <v>Owensboro</v>
      </c>
      <c r="G598" t="s">
        <v>38</v>
      </c>
      <c r="H598" t="s">
        <v>86</v>
      </c>
      <c r="I598">
        <v>68</v>
      </c>
      <c r="J598">
        <v>139</v>
      </c>
      <c r="K598">
        <v>103.5</v>
      </c>
      <c r="L598" t="str">
        <f t="shared" si="39"/>
        <v>$100–125K</v>
      </c>
      <c r="M598">
        <v>146</v>
      </c>
    </row>
    <row r="599" spans="1:13">
      <c r="A599" t="s">
        <v>503</v>
      </c>
      <c r="B599" t="str">
        <f t="shared" si="36"/>
        <v>Mid-Level</v>
      </c>
      <c r="C599" t="str">
        <f t="shared" si="37"/>
        <v>Data Scientist</v>
      </c>
      <c r="D599">
        <v>4.0999999999999996</v>
      </c>
      <c r="E599" t="s">
        <v>79</v>
      </c>
      <c r="F599" t="str">
        <f t="shared" si="38"/>
        <v>Fremont</v>
      </c>
      <c r="G599" t="s">
        <v>38</v>
      </c>
      <c r="H599" t="s">
        <v>76</v>
      </c>
      <c r="I599">
        <v>72</v>
      </c>
      <c r="J599">
        <v>142</v>
      </c>
      <c r="K599">
        <v>107</v>
      </c>
      <c r="L599" t="str">
        <f t="shared" si="39"/>
        <v>$100–125K</v>
      </c>
      <c r="M599">
        <v>40</v>
      </c>
    </row>
    <row r="600" spans="1:13">
      <c r="A600" t="s">
        <v>80</v>
      </c>
      <c r="B600" t="str">
        <f t="shared" si="36"/>
        <v>Mid-Level</v>
      </c>
      <c r="C600" t="str">
        <f t="shared" si="37"/>
        <v>Data Engineer</v>
      </c>
      <c r="D600">
        <v>3.7</v>
      </c>
      <c r="E600" t="s">
        <v>443</v>
      </c>
      <c r="F600" t="str">
        <f t="shared" si="38"/>
        <v>Springfield</v>
      </c>
      <c r="G600" t="s">
        <v>38</v>
      </c>
      <c r="H600" t="s">
        <v>10</v>
      </c>
      <c r="I600">
        <v>74</v>
      </c>
      <c r="J600">
        <v>137</v>
      </c>
      <c r="K600">
        <v>105.5</v>
      </c>
      <c r="L600" t="str">
        <f t="shared" si="39"/>
        <v>$100–125K</v>
      </c>
      <c r="M600">
        <v>-1</v>
      </c>
    </row>
    <row r="601" spans="1:13">
      <c r="A601" t="s">
        <v>80</v>
      </c>
      <c r="B601" t="str">
        <f t="shared" si="36"/>
        <v>Mid-Level</v>
      </c>
      <c r="C601" t="str">
        <f t="shared" si="37"/>
        <v>Data Engineer</v>
      </c>
      <c r="D601">
        <v>2.8</v>
      </c>
      <c r="E601" t="s">
        <v>106</v>
      </c>
      <c r="F601" t="str">
        <f t="shared" si="38"/>
        <v>San Diego</v>
      </c>
      <c r="G601" t="s">
        <v>9</v>
      </c>
      <c r="H601" t="s">
        <v>55</v>
      </c>
      <c r="I601">
        <v>57</v>
      </c>
      <c r="J601">
        <v>109</v>
      </c>
      <c r="K601">
        <v>83</v>
      </c>
      <c r="L601" t="str">
        <f t="shared" si="39"/>
        <v>$75–100K</v>
      </c>
      <c r="M601">
        <v>49</v>
      </c>
    </row>
    <row r="602" spans="1:13">
      <c r="A602" t="s">
        <v>415</v>
      </c>
      <c r="B602" t="str">
        <f t="shared" si="36"/>
        <v>Senior</v>
      </c>
      <c r="C602" t="str">
        <f t="shared" si="37"/>
        <v>Data Engineer</v>
      </c>
      <c r="D602">
        <v>4</v>
      </c>
      <c r="E602" t="s">
        <v>34</v>
      </c>
      <c r="F602" t="str">
        <f t="shared" si="38"/>
        <v>San Francisco</v>
      </c>
      <c r="G602" t="s">
        <v>19</v>
      </c>
      <c r="H602" t="s">
        <v>33</v>
      </c>
      <c r="I602">
        <v>121</v>
      </c>
      <c r="J602">
        <v>203</v>
      </c>
      <c r="K602">
        <v>162</v>
      </c>
      <c r="L602" t="str">
        <f t="shared" si="39"/>
        <v>&gt;$150K</v>
      </c>
      <c r="M602">
        <v>14</v>
      </c>
    </row>
    <row r="603" spans="1:13">
      <c r="A603" t="s">
        <v>416</v>
      </c>
      <c r="B603" t="str">
        <f t="shared" si="36"/>
        <v>Mid-Level</v>
      </c>
      <c r="C603" t="str">
        <f t="shared" si="37"/>
        <v>Data Scientist</v>
      </c>
      <c r="D603">
        <v>3.5</v>
      </c>
      <c r="E603" t="s">
        <v>75</v>
      </c>
      <c r="F603" t="str">
        <f t="shared" si="38"/>
        <v>Redlands</v>
      </c>
      <c r="G603" t="s">
        <v>19</v>
      </c>
      <c r="H603" t="s">
        <v>76</v>
      </c>
      <c r="I603">
        <v>52</v>
      </c>
      <c r="J603">
        <v>85</v>
      </c>
      <c r="K603">
        <v>68.5</v>
      </c>
      <c r="L603" t="str">
        <f t="shared" si="39"/>
        <v>$50–75K</v>
      </c>
      <c r="M603">
        <v>52</v>
      </c>
    </row>
    <row r="604" spans="1:13">
      <c r="A604" t="s">
        <v>417</v>
      </c>
      <c r="B604" t="str">
        <f t="shared" si="36"/>
        <v>Senior</v>
      </c>
      <c r="C604" t="str">
        <f t="shared" si="37"/>
        <v>Data Scientist</v>
      </c>
      <c r="D604">
        <v>3.4</v>
      </c>
      <c r="E604" t="s">
        <v>418</v>
      </c>
      <c r="F604" t="str">
        <f t="shared" si="38"/>
        <v>Westlake</v>
      </c>
      <c r="G604" t="s">
        <v>14</v>
      </c>
      <c r="H604" t="s">
        <v>55</v>
      </c>
      <c r="I604">
        <v>81</v>
      </c>
      <c r="J604">
        <v>140</v>
      </c>
      <c r="K604">
        <v>110.5</v>
      </c>
      <c r="L604" t="str">
        <f t="shared" si="39"/>
        <v>$100–125K</v>
      </c>
      <c r="M604">
        <v>43</v>
      </c>
    </row>
    <row r="605" spans="1:13">
      <c r="A605" t="s">
        <v>419</v>
      </c>
      <c r="B605" t="str">
        <f t="shared" si="36"/>
        <v>Senior</v>
      </c>
      <c r="C605" t="str">
        <f t="shared" si="37"/>
        <v>Data Engineer</v>
      </c>
      <c r="D605">
        <v>3.7</v>
      </c>
      <c r="E605" t="s">
        <v>420</v>
      </c>
      <c r="F605" t="str">
        <f t="shared" si="38"/>
        <v>Des Moines</v>
      </c>
      <c r="G605" t="s">
        <v>25</v>
      </c>
      <c r="H605" t="s">
        <v>55</v>
      </c>
      <c r="I605">
        <v>83</v>
      </c>
      <c r="J605">
        <v>148</v>
      </c>
      <c r="K605">
        <v>115.5</v>
      </c>
      <c r="L605" t="str">
        <f t="shared" si="39"/>
        <v>$100–125K</v>
      </c>
      <c r="M605">
        <v>-1</v>
      </c>
    </row>
    <row r="606" spans="1:13">
      <c r="A606" t="s">
        <v>504</v>
      </c>
      <c r="B606" t="str">
        <f t="shared" si="36"/>
        <v>Junior</v>
      </c>
      <c r="C606" t="str">
        <f t="shared" si="37"/>
        <v>Research Scientist</v>
      </c>
      <c r="D606">
        <v>3</v>
      </c>
      <c r="E606" t="s">
        <v>505</v>
      </c>
      <c r="F606" t="str">
        <f t="shared" si="38"/>
        <v>Alameda</v>
      </c>
      <c r="G606" t="s">
        <v>9</v>
      </c>
      <c r="H606" t="s">
        <v>45</v>
      </c>
      <c r="I606">
        <v>59</v>
      </c>
      <c r="J606">
        <v>116</v>
      </c>
      <c r="K606">
        <v>87.5</v>
      </c>
      <c r="L606" t="str">
        <f t="shared" si="39"/>
        <v>$75–100K</v>
      </c>
      <c r="M606">
        <v>27</v>
      </c>
    </row>
    <row r="607" spans="1:13">
      <c r="A607" t="s">
        <v>421</v>
      </c>
      <c r="B607" t="str">
        <f t="shared" si="36"/>
        <v>Senior</v>
      </c>
      <c r="C607" t="str">
        <f t="shared" si="37"/>
        <v>Data Scientist</v>
      </c>
      <c r="D607">
        <v>3.8</v>
      </c>
      <c r="E607" t="s">
        <v>18</v>
      </c>
      <c r="F607" t="str">
        <f t="shared" si="38"/>
        <v>Richland</v>
      </c>
      <c r="G607" t="s">
        <v>19</v>
      </c>
      <c r="H607" t="s">
        <v>20</v>
      </c>
      <c r="I607">
        <v>60</v>
      </c>
      <c r="J607">
        <v>101</v>
      </c>
      <c r="K607">
        <v>80.5</v>
      </c>
      <c r="L607" t="str">
        <f t="shared" si="39"/>
        <v>$75–100K</v>
      </c>
      <c r="M607">
        <v>56</v>
      </c>
    </row>
    <row r="608" spans="1:13">
      <c r="A608" t="s">
        <v>422</v>
      </c>
      <c r="B608" t="str">
        <f t="shared" si="36"/>
        <v>Mid-Level</v>
      </c>
      <c r="C608" t="str">
        <f t="shared" si="37"/>
        <v>Data Analyst</v>
      </c>
      <c r="D608">
        <v>4.5999999999999996</v>
      </c>
      <c r="E608" t="s">
        <v>423</v>
      </c>
      <c r="F608" t="str">
        <f t="shared" si="38"/>
        <v>Cedar Rapids</v>
      </c>
      <c r="G608" t="s">
        <v>9</v>
      </c>
      <c r="H608" t="s">
        <v>250</v>
      </c>
      <c r="I608">
        <v>31</v>
      </c>
      <c r="J608">
        <v>55</v>
      </c>
      <c r="K608">
        <v>43</v>
      </c>
      <c r="L608" t="str">
        <f t="shared" si="39"/>
        <v>&lt;$50K</v>
      </c>
      <c r="M608">
        <v>29</v>
      </c>
    </row>
    <row r="609" spans="1:13">
      <c r="A609" t="s">
        <v>424</v>
      </c>
      <c r="B609" t="str">
        <f t="shared" si="36"/>
        <v>Junior</v>
      </c>
      <c r="C609" t="str">
        <f t="shared" si="37"/>
        <v>Director/VP</v>
      </c>
      <c r="D609">
        <v>4.4000000000000004</v>
      </c>
      <c r="E609" t="s">
        <v>44</v>
      </c>
      <c r="F609" t="str">
        <f t="shared" si="38"/>
        <v>Cambridge</v>
      </c>
      <c r="G609" t="s">
        <v>25</v>
      </c>
      <c r="H609" t="s">
        <v>45</v>
      </c>
      <c r="I609">
        <v>102</v>
      </c>
      <c r="J609">
        <v>178</v>
      </c>
      <c r="K609">
        <v>140</v>
      </c>
      <c r="L609" t="str">
        <f t="shared" si="39"/>
        <v>$125–150K</v>
      </c>
      <c r="M609">
        <v>18</v>
      </c>
    </row>
    <row r="610" spans="1:13">
      <c r="A610" t="s">
        <v>506</v>
      </c>
      <c r="B610" t="str">
        <f t="shared" si="36"/>
        <v>Management</v>
      </c>
      <c r="C610" t="str">
        <f t="shared" si="37"/>
        <v>Director/VP</v>
      </c>
      <c r="D610">
        <v>4</v>
      </c>
      <c r="E610" t="s">
        <v>44</v>
      </c>
      <c r="F610" t="str">
        <f t="shared" si="38"/>
        <v>Cambridge</v>
      </c>
      <c r="G610" t="s">
        <v>14</v>
      </c>
      <c r="H610" t="s">
        <v>45</v>
      </c>
      <c r="I610">
        <v>136</v>
      </c>
      <c r="J610">
        <v>208</v>
      </c>
      <c r="K610">
        <v>172</v>
      </c>
      <c r="L610" t="str">
        <f t="shared" si="39"/>
        <v>&gt;$150K</v>
      </c>
      <c r="M610">
        <v>172</v>
      </c>
    </row>
    <row r="611" spans="1:13">
      <c r="A611" t="s">
        <v>425</v>
      </c>
      <c r="B611" t="str">
        <f t="shared" si="36"/>
        <v>Senior</v>
      </c>
      <c r="C611" t="str">
        <f t="shared" si="37"/>
        <v>Data Scientist</v>
      </c>
      <c r="D611">
        <v>-1</v>
      </c>
      <c r="E611" t="s">
        <v>44</v>
      </c>
      <c r="F611" t="str">
        <f t="shared" si="38"/>
        <v>Cambridge</v>
      </c>
      <c r="G611" t="s">
        <v>89</v>
      </c>
      <c r="H611">
        <v>-1</v>
      </c>
      <c r="I611">
        <v>110</v>
      </c>
      <c r="J611">
        <v>130</v>
      </c>
      <c r="K611">
        <v>120</v>
      </c>
      <c r="L611" t="str">
        <f t="shared" si="39"/>
        <v>$100–125K</v>
      </c>
      <c r="M611">
        <v>-1</v>
      </c>
    </row>
    <row r="612" spans="1:13">
      <c r="A612" t="s">
        <v>426</v>
      </c>
      <c r="B612" t="str">
        <f t="shared" si="36"/>
        <v>Senior</v>
      </c>
      <c r="C612" t="str">
        <f t="shared" si="37"/>
        <v>Data Analyst</v>
      </c>
      <c r="D612">
        <v>3</v>
      </c>
      <c r="E612" t="s">
        <v>120</v>
      </c>
      <c r="F612" t="str">
        <f t="shared" si="38"/>
        <v>Philadelphia</v>
      </c>
      <c r="G612" t="s">
        <v>38</v>
      </c>
      <c r="H612" t="s">
        <v>55</v>
      </c>
      <c r="I612">
        <v>48</v>
      </c>
      <c r="J612">
        <v>85</v>
      </c>
      <c r="K612">
        <v>66.5</v>
      </c>
      <c r="L612" t="str">
        <f t="shared" si="39"/>
        <v>$50–75K</v>
      </c>
      <c r="M612">
        <v>38</v>
      </c>
    </row>
    <row r="613" spans="1:13">
      <c r="A613" t="s">
        <v>507</v>
      </c>
      <c r="B613" t="str">
        <f t="shared" si="36"/>
        <v>Senior</v>
      </c>
      <c r="C613" t="str">
        <f t="shared" si="37"/>
        <v>Data Scientist</v>
      </c>
      <c r="D613">
        <v>3</v>
      </c>
      <c r="E613" t="s">
        <v>505</v>
      </c>
      <c r="F613" t="str">
        <f t="shared" si="38"/>
        <v>Alameda</v>
      </c>
      <c r="G613" t="s">
        <v>9</v>
      </c>
      <c r="H613" t="s">
        <v>45</v>
      </c>
      <c r="I613">
        <v>71</v>
      </c>
      <c r="J613">
        <v>129</v>
      </c>
      <c r="K613">
        <v>100</v>
      </c>
      <c r="L613" t="str">
        <f t="shared" si="39"/>
        <v>$100–125K</v>
      </c>
      <c r="M613">
        <v>27</v>
      </c>
    </row>
    <row r="614" spans="1:13">
      <c r="A614" t="s">
        <v>427</v>
      </c>
      <c r="B614" t="str">
        <f t="shared" si="36"/>
        <v>Senior</v>
      </c>
      <c r="C614" t="str">
        <f t="shared" si="37"/>
        <v>Data Engineer</v>
      </c>
      <c r="D614">
        <v>4.7</v>
      </c>
      <c r="E614" t="s">
        <v>34</v>
      </c>
      <c r="F614" t="str">
        <f t="shared" si="38"/>
        <v>San Francisco</v>
      </c>
      <c r="G614" t="s">
        <v>22</v>
      </c>
      <c r="H614" t="s">
        <v>121</v>
      </c>
      <c r="I614">
        <v>66</v>
      </c>
      <c r="J614">
        <v>123</v>
      </c>
      <c r="K614">
        <v>94.5</v>
      </c>
      <c r="L614" t="str">
        <f t="shared" si="39"/>
        <v>$75–100K</v>
      </c>
      <c r="M614">
        <v>15</v>
      </c>
    </row>
    <row r="615" spans="1:13">
      <c r="A615" t="s">
        <v>486</v>
      </c>
      <c r="B615" t="str">
        <f t="shared" si="36"/>
        <v>Management</v>
      </c>
      <c r="C615" t="str">
        <f t="shared" si="37"/>
        <v>DS Manager</v>
      </c>
      <c r="D615">
        <v>4.2</v>
      </c>
      <c r="E615" t="s">
        <v>34</v>
      </c>
      <c r="F615" t="str">
        <f t="shared" si="38"/>
        <v>San Francisco</v>
      </c>
      <c r="G615" t="s">
        <v>9</v>
      </c>
      <c r="H615" t="s">
        <v>15</v>
      </c>
      <c r="I615">
        <v>171</v>
      </c>
      <c r="J615">
        <v>272</v>
      </c>
      <c r="K615">
        <v>221.5</v>
      </c>
      <c r="L615" t="str">
        <f t="shared" si="39"/>
        <v>&gt;$150K</v>
      </c>
      <c r="M615">
        <v>10</v>
      </c>
    </row>
    <row r="616" spans="1:13">
      <c r="A616" t="s">
        <v>428</v>
      </c>
      <c r="B616" t="str">
        <f t="shared" si="36"/>
        <v>Senior</v>
      </c>
      <c r="C616" t="str">
        <f t="shared" si="37"/>
        <v>Data Scientist</v>
      </c>
      <c r="D616">
        <v>3.8</v>
      </c>
      <c r="E616" t="s">
        <v>29</v>
      </c>
      <c r="F616" t="str">
        <f t="shared" si="38"/>
        <v>Seattle</v>
      </c>
      <c r="G616" t="s">
        <v>19</v>
      </c>
      <c r="H616" t="s">
        <v>20</v>
      </c>
      <c r="I616">
        <v>92</v>
      </c>
      <c r="J616">
        <v>146</v>
      </c>
      <c r="K616">
        <v>119</v>
      </c>
      <c r="L616" t="str">
        <f t="shared" si="39"/>
        <v>$100–125K</v>
      </c>
      <c r="M616">
        <v>56</v>
      </c>
    </row>
    <row r="617" spans="1:13">
      <c r="A617" t="s">
        <v>80</v>
      </c>
      <c r="B617" t="str">
        <f t="shared" si="36"/>
        <v>Mid-Level</v>
      </c>
      <c r="C617" t="str">
        <f t="shared" si="37"/>
        <v>Data Engineer</v>
      </c>
      <c r="D617">
        <v>3.5</v>
      </c>
      <c r="E617" t="s">
        <v>59</v>
      </c>
      <c r="F617" t="str">
        <f t="shared" si="38"/>
        <v>Chicago</v>
      </c>
      <c r="G617" t="s">
        <v>25</v>
      </c>
      <c r="H617" t="s">
        <v>30</v>
      </c>
      <c r="I617">
        <v>65</v>
      </c>
      <c r="J617">
        <v>126</v>
      </c>
      <c r="K617">
        <v>95.5</v>
      </c>
      <c r="L617" t="str">
        <f t="shared" si="39"/>
        <v>$75–100K</v>
      </c>
      <c r="M617">
        <v>26</v>
      </c>
    </row>
    <row r="618" spans="1:13">
      <c r="A618" t="s">
        <v>431</v>
      </c>
      <c r="B618" t="str">
        <f t="shared" si="36"/>
        <v>Management</v>
      </c>
      <c r="C618" t="str">
        <f t="shared" si="37"/>
        <v>Director/VP</v>
      </c>
      <c r="D618">
        <v>3.3</v>
      </c>
      <c r="E618" t="s">
        <v>59</v>
      </c>
      <c r="F618" t="str">
        <f t="shared" si="38"/>
        <v>Chicago</v>
      </c>
      <c r="G618" t="s">
        <v>14</v>
      </c>
      <c r="H618" t="s">
        <v>55</v>
      </c>
      <c r="I618">
        <v>150</v>
      </c>
      <c r="J618">
        <v>239</v>
      </c>
      <c r="K618">
        <v>194.5</v>
      </c>
      <c r="L618" t="str">
        <f t="shared" si="39"/>
        <v>&gt;$150K</v>
      </c>
      <c r="M618">
        <v>109</v>
      </c>
    </row>
    <row r="619" spans="1:13">
      <c r="A619" t="s">
        <v>429</v>
      </c>
      <c r="B619" t="str">
        <f t="shared" si="36"/>
        <v>Mid-Level</v>
      </c>
      <c r="C619" t="str">
        <f t="shared" si="37"/>
        <v>Data Scientist</v>
      </c>
      <c r="D619">
        <v>3.2</v>
      </c>
      <c r="E619" t="s">
        <v>94</v>
      </c>
      <c r="F619" t="str">
        <f t="shared" si="38"/>
        <v>Omaha</v>
      </c>
      <c r="G619" t="s">
        <v>14</v>
      </c>
      <c r="H619" t="s">
        <v>15</v>
      </c>
      <c r="I619">
        <v>43</v>
      </c>
      <c r="J619">
        <v>60</v>
      </c>
      <c r="K619">
        <v>51.5</v>
      </c>
      <c r="L619" t="str">
        <f t="shared" si="39"/>
        <v>$50–75K</v>
      </c>
      <c r="M619">
        <v>25</v>
      </c>
    </row>
    <row r="620" spans="1:13">
      <c r="A620" t="s">
        <v>430</v>
      </c>
      <c r="B620" t="str">
        <f t="shared" si="36"/>
        <v>Senior</v>
      </c>
      <c r="C620" t="str">
        <f t="shared" si="37"/>
        <v>Data Analyst</v>
      </c>
      <c r="D620">
        <v>2.7</v>
      </c>
      <c r="E620" t="s">
        <v>302</v>
      </c>
      <c r="F620" t="str">
        <f t="shared" si="38"/>
        <v>Nashville</v>
      </c>
      <c r="G620" t="s">
        <v>38</v>
      </c>
      <c r="H620" t="s">
        <v>113</v>
      </c>
      <c r="I620">
        <v>20</v>
      </c>
      <c r="J620">
        <v>35</v>
      </c>
      <c r="K620">
        <v>27.5</v>
      </c>
      <c r="L620" t="str">
        <f t="shared" si="39"/>
        <v>&lt;$50K</v>
      </c>
      <c r="M620">
        <v>21</v>
      </c>
    </row>
    <row r="621" spans="1:13">
      <c r="A621" t="s">
        <v>508</v>
      </c>
      <c r="B621" t="str">
        <f t="shared" si="36"/>
        <v>Senior</v>
      </c>
      <c r="C621" t="str">
        <f t="shared" si="37"/>
        <v>Data Scientist</v>
      </c>
      <c r="D621">
        <v>3.3</v>
      </c>
      <c r="E621" t="s">
        <v>444</v>
      </c>
      <c r="F621" t="str">
        <f t="shared" si="38"/>
        <v>Jersey City</v>
      </c>
      <c r="G621" t="s">
        <v>19</v>
      </c>
      <c r="H621" t="s">
        <v>191</v>
      </c>
      <c r="I621">
        <v>118</v>
      </c>
      <c r="J621">
        <v>228</v>
      </c>
      <c r="K621">
        <v>173</v>
      </c>
      <c r="L621" t="str">
        <f t="shared" si="39"/>
        <v>&gt;$150K</v>
      </c>
      <c r="M621">
        <v>48</v>
      </c>
    </row>
    <row r="622" spans="1:13">
      <c r="A622" t="s">
        <v>433</v>
      </c>
      <c r="B622" t="str">
        <f t="shared" si="36"/>
        <v>Mid-Level</v>
      </c>
      <c r="C622" t="str">
        <f t="shared" si="37"/>
        <v>Data Scientist</v>
      </c>
      <c r="D622">
        <v>3.7</v>
      </c>
      <c r="E622" t="s">
        <v>307</v>
      </c>
      <c r="F622" t="str">
        <f t="shared" si="38"/>
        <v>Austin</v>
      </c>
      <c r="G622" t="s">
        <v>9</v>
      </c>
      <c r="H622" t="s">
        <v>208</v>
      </c>
      <c r="I622">
        <v>82</v>
      </c>
      <c r="J622">
        <v>129</v>
      </c>
      <c r="K622">
        <v>105.5</v>
      </c>
      <c r="L622" t="str">
        <f t="shared" si="39"/>
        <v>$100–125K</v>
      </c>
      <c r="M622">
        <v>-1</v>
      </c>
    </row>
    <row r="623" spans="1:13">
      <c r="A623" t="s">
        <v>432</v>
      </c>
      <c r="B623" t="str">
        <f t="shared" si="36"/>
        <v>Senior</v>
      </c>
      <c r="C623" t="str">
        <f t="shared" si="37"/>
        <v>Research Scientist</v>
      </c>
      <c r="D623">
        <v>3.9</v>
      </c>
      <c r="E623" t="s">
        <v>339</v>
      </c>
      <c r="F623" t="str">
        <f t="shared" si="38"/>
        <v>San Antonio</v>
      </c>
      <c r="G623" t="s">
        <v>19</v>
      </c>
      <c r="H623" t="s">
        <v>39</v>
      </c>
      <c r="I623">
        <v>52</v>
      </c>
      <c r="J623">
        <v>91</v>
      </c>
      <c r="K623">
        <v>71.5</v>
      </c>
      <c r="L623" t="str">
        <f t="shared" si="39"/>
        <v>$50–75K</v>
      </c>
      <c r="M623">
        <v>74</v>
      </c>
    </row>
    <row r="624" spans="1:13">
      <c r="A624" t="s">
        <v>434</v>
      </c>
      <c r="B624" t="str">
        <f t="shared" si="36"/>
        <v>Senior</v>
      </c>
      <c r="C624" t="str">
        <f t="shared" si="37"/>
        <v>Data Scientist</v>
      </c>
      <c r="D624">
        <v>3.1</v>
      </c>
      <c r="E624" t="s">
        <v>356</v>
      </c>
      <c r="F624" t="str">
        <f t="shared" si="38"/>
        <v>Winston-Salem</v>
      </c>
      <c r="G624" t="s">
        <v>38</v>
      </c>
      <c r="H624" t="s">
        <v>86</v>
      </c>
      <c r="I624">
        <v>47</v>
      </c>
      <c r="J624">
        <v>101</v>
      </c>
      <c r="K624">
        <v>74</v>
      </c>
      <c r="L624" t="str">
        <f t="shared" si="39"/>
        <v>$50–75K</v>
      </c>
      <c r="M624">
        <v>146</v>
      </c>
    </row>
    <row r="625" spans="1:13">
      <c r="A625" t="s">
        <v>435</v>
      </c>
      <c r="B625" t="str">
        <f t="shared" si="36"/>
        <v>Mid-Level</v>
      </c>
      <c r="C625" t="str">
        <f t="shared" si="37"/>
        <v>Data Analyst</v>
      </c>
      <c r="D625">
        <v>3.7</v>
      </c>
      <c r="E625" t="s">
        <v>104</v>
      </c>
      <c r="F625" t="str">
        <f t="shared" si="38"/>
        <v>Huntsville</v>
      </c>
      <c r="G625" t="s">
        <v>14</v>
      </c>
      <c r="H625" t="s">
        <v>10</v>
      </c>
      <c r="I625">
        <v>49</v>
      </c>
      <c r="J625">
        <v>76</v>
      </c>
      <c r="K625">
        <v>62.5</v>
      </c>
      <c r="L625" t="str">
        <f t="shared" si="39"/>
        <v>$50–75K</v>
      </c>
      <c r="M625">
        <v>99</v>
      </c>
    </row>
    <row r="626" spans="1:13">
      <c r="A626" t="s">
        <v>436</v>
      </c>
      <c r="B626" t="str">
        <f t="shared" si="36"/>
        <v>Senior</v>
      </c>
      <c r="C626" t="str">
        <f t="shared" si="37"/>
        <v>Research Scientist</v>
      </c>
      <c r="D626">
        <v>4.3</v>
      </c>
      <c r="E626" t="s">
        <v>398</v>
      </c>
      <c r="F626" t="str">
        <f t="shared" si="38"/>
        <v>Durham</v>
      </c>
      <c r="G626" t="s">
        <v>19</v>
      </c>
      <c r="H626" t="s">
        <v>39</v>
      </c>
      <c r="I626">
        <v>43</v>
      </c>
      <c r="J626">
        <v>88</v>
      </c>
      <c r="K626">
        <v>65.5</v>
      </c>
      <c r="L626" t="str">
        <f t="shared" si="39"/>
        <v>$50–75K</v>
      </c>
      <c r="M626">
        <v>63</v>
      </c>
    </row>
    <row r="627" spans="1:13">
      <c r="A627" t="s">
        <v>7</v>
      </c>
      <c r="B627" t="str">
        <f t="shared" si="36"/>
        <v>Mid-Level</v>
      </c>
      <c r="C627" t="str">
        <f t="shared" si="37"/>
        <v>Data Scientist</v>
      </c>
      <c r="D627">
        <v>3.8</v>
      </c>
      <c r="E627" t="s">
        <v>115</v>
      </c>
      <c r="F627" t="str">
        <f t="shared" si="38"/>
        <v>Coraopolis</v>
      </c>
      <c r="G627" t="s">
        <v>14</v>
      </c>
      <c r="H627" t="s">
        <v>116</v>
      </c>
      <c r="I627">
        <v>61</v>
      </c>
      <c r="J627">
        <v>109</v>
      </c>
      <c r="K627">
        <v>85</v>
      </c>
      <c r="L627" t="str">
        <f t="shared" si="39"/>
        <v>$75–100K</v>
      </c>
      <c r="M627">
        <v>73</v>
      </c>
    </row>
    <row r="628" spans="1:13">
      <c r="A628" t="s">
        <v>463</v>
      </c>
      <c r="B628" t="str">
        <f t="shared" si="36"/>
        <v>Senior</v>
      </c>
      <c r="C628" t="str">
        <f t="shared" si="37"/>
        <v>Data Scientist</v>
      </c>
      <c r="D628">
        <v>3.9</v>
      </c>
      <c r="E628" t="s">
        <v>461</v>
      </c>
      <c r="F628" t="str">
        <f t="shared" si="38"/>
        <v>Gaithersburg</v>
      </c>
      <c r="G628" t="s">
        <v>14</v>
      </c>
      <c r="H628" t="s">
        <v>45</v>
      </c>
      <c r="I628">
        <v>113</v>
      </c>
      <c r="J628">
        <v>182</v>
      </c>
      <c r="K628">
        <v>147.5</v>
      </c>
      <c r="L628" t="str">
        <f t="shared" si="39"/>
        <v>$125–150K</v>
      </c>
      <c r="M628">
        <v>108</v>
      </c>
    </row>
    <row r="629" spans="1:13">
      <c r="A629" t="s">
        <v>437</v>
      </c>
      <c r="B629" t="str">
        <f t="shared" si="36"/>
        <v>Management</v>
      </c>
      <c r="C629" t="str">
        <f t="shared" si="37"/>
        <v>Director/VP</v>
      </c>
      <c r="D629">
        <v>3.6</v>
      </c>
      <c r="E629" t="s">
        <v>438</v>
      </c>
      <c r="F629" t="str">
        <f t="shared" si="38"/>
        <v>Fort Lee</v>
      </c>
      <c r="G629" t="s">
        <v>19</v>
      </c>
      <c r="H629" t="s">
        <v>23</v>
      </c>
      <c r="I629">
        <v>124</v>
      </c>
      <c r="J629">
        <v>199</v>
      </c>
      <c r="K629">
        <v>161.5</v>
      </c>
      <c r="L629" t="str">
        <f t="shared" si="39"/>
        <v>&gt;$150K</v>
      </c>
      <c r="M629">
        <v>32</v>
      </c>
    </row>
    <row r="630" spans="1:13">
      <c r="A630" t="s">
        <v>80</v>
      </c>
      <c r="B630" t="str">
        <f t="shared" si="36"/>
        <v>Mid-Level</v>
      </c>
      <c r="C630" t="str">
        <f t="shared" si="37"/>
        <v>Data Engineer</v>
      </c>
      <c r="D630">
        <v>3.7</v>
      </c>
      <c r="E630" t="s">
        <v>509</v>
      </c>
      <c r="F630" t="str">
        <f t="shared" si="38"/>
        <v>Roanoke</v>
      </c>
      <c r="G630" t="s">
        <v>14</v>
      </c>
      <c r="H630" t="s">
        <v>15</v>
      </c>
      <c r="I630">
        <v>58</v>
      </c>
      <c r="J630">
        <v>104</v>
      </c>
      <c r="K630">
        <v>81</v>
      </c>
      <c r="L630" t="str">
        <f t="shared" si="39"/>
        <v>$75–100K</v>
      </c>
      <c r="M630">
        <v>122</v>
      </c>
    </row>
    <row r="631" spans="1:13">
      <c r="A631" t="s">
        <v>439</v>
      </c>
      <c r="B631" t="str">
        <f t="shared" si="36"/>
        <v>Senior</v>
      </c>
      <c r="C631" t="str">
        <f t="shared" si="37"/>
        <v>Data Analyst</v>
      </c>
      <c r="D631">
        <v>2.1</v>
      </c>
      <c r="E631" t="s">
        <v>440</v>
      </c>
      <c r="F631" t="str">
        <f t="shared" si="38"/>
        <v>Blue Bell</v>
      </c>
      <c r="G631" t="s">
        <v>19</v>
      </c>
      <c r="H631" t="s">
        <v>45</v>
      </c>
      <c r="I631">
        <v>52</v>
      </c>
      <c r="J631">
        <v>93</v>
      </c>
      <c r="K631">
        <v>72.5</v>
      </c>
      <c r="L631" t="str">
        <f t="shared" si="39"/>
        <v>$50–75K</v>
      </c>
      <c r="M631">
        <v>18</v>
      </c>
    </row>
    <row r="632" spans="1:13">
      <c r="A632" t="s">
        <v>180</v>
      </c>
      <c r="B632" t="str">
        <f t="shared" si="36"/>
        <v>Senior</v>
      </c>
      <c r="C632" t="str">
        <f t="shared" si="37"/>
        <v>Data Engineer</v>
      </c>
      <c r="D632">
        <v>3.9</v>
      </c>
      <c r="E632" t="s">
        <v>34</v>
      </c>
      <c r="F632" t="str">
        <f t="shared" si="38"/>
        <v>San Francisco</v>
      </c>
      <c r="G632" t="s">
        <v>22</v>
      </c>
      <c r="H632" t="s">
        <v>76</v>
      </c>
      <c r="I632">
        <v>97</v>
      </c>
      <c r="J632">
        <v>181</v>
      </c>
      <c r="K632">
        <v>139</v>
      </c>
      <c r="L632" t="str">
        <f t="shared" si="39"/>
        <v>$125–150K</v>
      </c>
      <c r="M632">
        <v>13</v>
      </c>
    </row>
    <row r="633" spans="1:13">
      <c r="A633" t="s">
        <v>180</v>
      </c>
      <c r="B633" t="str">
        <f t="shared" si="36"/>
        <v>Senior</v>
      </c>
      <c r="C633" t="str">
        <f t="shared" si="37"/>
        <v>Data Engineer</v>
      </c>
      <c r="D633">
        <v>3.9</v>
      </c>
      <c r="E633" t="s">
        <v>34</v>
      </c>
      <c r="F633" t="str">
        <f t="shared" si="38"/>
        <v>San Francisco</v>
      </c>
      <c r="G633" t="s">
        <v>25</v>
      </c>
      <c r="H633" t="s">
        <v>33</v>
      </c>
      <c r="I633">
        <v>100</v>
      </c>
      <c r="J633">
        <v>173</v>
      </c>
      <c r="K633">
        <v>136.5</v>
      </c>
      <c r="L633" t="str">
        <f t="shared" si="39"/>
        <v>$125–150K</v>
      </c>
      <c r="M633">
        <v>14</v>
      </c>
    </row>
    <row r="634" spans="1:13">
      <c r="A634" t="s">
        <v>334</v>
      </c>
      <c r="B634" t="str">
        <f t="shared" si="36"/>
        <v>Senior</v>
      </c>
      <c r="C634" t="str">
        <f t="shared" si="37"/>
        <v>Data Analyst</v>
      </c>
      <c r="D634">
        <v>3.2</v>
      </c>
      <c r="E634" t="s">
        <v>21</v>
      </c>
      <c r="F634" t="str">
        <f t="shared" si="38"/>
        <v>New York</v>
      </c>
      <c r="G634" t="s">
        <v>25</v>
      </c>
      <c r="H634" t="s">
        <v>33</v>
      </c>
      <c r="I634">
        <v>58</v>
      </c>
      <c r="J634">
        <v>108</v>
      </c>
      <c r="K634">
        <v>83</v>
      </c>
      <c r="L634" t="str">
        <f t="shared" si="39"/>
        <v>$75–100K</v>
      </c>
      <c r="M634">
        <v>13</v>
      </c>
    </row>
    <row r="635" spans="1:13">
      <c r="A635" t="s">
        <v>510</v>
      </c>
      <c r="B635" t="str">
        <f t="shared" si="36"/>
        <v>Senior</v>
      </c>
      <c r="C635" t="str">
        <f t="shared" si="37"/>
        <v>Research Scientist</v>
      </c>
      <c r="D635">
        <v>4.5999999999999996</v>
      </c>
      <c r="E635" t="s">
        <v>44</v>
      </c>
      <c r="F635" t="str">
        <f t="shared" si="38"/>
        <v>Cambridge</v>
      </c>
      <c r="G635" t="s">
        <v>22</v>
      </c>
      <c r="H635" t="s">
        <v>39</v>
      </c>
      <c r="I635">
        <v>81</v>
      </c>
      <c r="J635">
        <v>161</v>
      </c>
      <c r="K635">
        <v>121</v>
      </c>
      <c r="L635" t="str">
        <f t="shared" si="39"/>
        <v>$100–125K</v>
      </c>
      <c r="M635">
        <v>30</v>
      </c>
    </row>
    <row r="636" spans="1:13">
      <c r="A636" t="s">
        <v>441</v>
      </c>
      <c r="B636" t="str">
        <f t="shared" si="36"/>
        <v>Junior</v>
      </c>
      <c r="C636" t="str">
        <f t="shared" si="37"/>
        <v>ML Engineer</v>
      </c>
      <c r="D636">
        <v>3.8</v>
      </c>
      <c r="E636" t="s">
        <v>21</v>
      </c>
      <c r="F636" t="str">
        <f t="shared" si="38"/>
        <v>New York</v>
      </c>
      <c r="G636" t="s">
        <v>19</v>
      </c>
      <c r="H636" t="s">
        <v>201</v>
      </c>
      <c r="I636">
        <v>53</v>
      </c>
      <c r="J636">
        <v>96</v>
      </c>
      <c r="K636">
        <v>74.5</v>
      </c>
      <c r="L636" t="str">
        <f t="shared" si="39"/>
        <v>$50–75K</v>
      </c>
      <c r="M636">
        <v>19</v>
      </c>
    </row>
    <row r="637" spans="1:13">
      <c r="A637" t="s">
        <v>511</v>
      </c>
      <c r="B637" t="str">
        <f t="shared" si="36"/>
        <v>Mid-Level</v>
      </c>
      <c r="C637" t="str">
        <f t="shared" si="37"/>
        <v>Data Analyst</v>
      </c>
      <c r="D637">
        <v>2.2000000000000002</v>
      </c>
      <c r="E637" t="s">
        <v>34</v>
      </c>
      <c r="F637" t="str">
        <f t="shared" si="38"/>
        <v>San Francisco</v>
      </c>
      <c r="G637" t="s">
        <v>9</v>
      </c>
      <c r="H637" t="s">
        <v>512</v>
      </c>
      <c r="I637">
        <v>61</v>
      </c>
      <c r="J637">
        <v>110</v>
      </c>
      <c r="K637">
        <v>85.5</v>
      </c>
      <c r="L637" t="str">
        <f t="shared" si="39"/>
        <v>$75–100K</v>
      </c>
      <c r="M637">
        <v>19</v>
      </c>
    </row>
    <row r="638" spans="1:13">
      <c r="A638" t="s">
        <v>442</v>
      </c>
      <c r="B638" t="str">
        <f t="shared" si="36"/>
        <v>Senior</v>
      </c>
      <c r="C638" t="str">
        <f t="shared" si="37"/>
        <v>Data Scientist</v>
      </c>
      <c r="D638">
        <v>3.1</v>
      </c>
      <c r="E638" t="s">
        <v>356</v>
      </c>
      <c r="F638" t="str">
        <f t="shared" si="38"/>
        <v>Winston-Salem</v>
      </c>
      <c r="G638" t="s">
        <v>38</v>
      </c>
      <c r="H638" t="s">
        <v>86</v>
      </c>
      <c r="I638">
        <v>65</v>
      </c>
      <c r="J638">
        <v>96</v>
      </c>
      <c r="K638">
        <v>80.5</v>
      </c>
      <c r="L638" t="str">
        <f t="shared" si="39"/>
        <v>$75–100K</v>
      </c>
      <c r="M638">
        <v>146</v>
      </c>
    </row>
    <row r="639" spans="1:13">
      <c r="A639" t="s">
        <v>513</v>
      </c>
      <c r="B639" t="str">
        <f t="shared" si="36"/>
        <v>Senior</v>
      </c>
      <c r="C639" t="str">
        <f t="shared" si="37"/>
        <v>Research Scientist</v>
      </c>
      <c r="D639">
        <v>4.5999999999999996</v>
      </c>
      <c r="E639" t="s">
        <v>44</v>
      </c>
      <c r="F639" t="str">
        <f t="shared" si="38"/>
        <v>Cambridge</v>
      </c>
      <c r="G639" t="s">
        <v>22</v>
      </c>
      <c r="H639" t="s">
        <v>39</v>
      </c>
      <c r="I639">
        <v>115</v>
      </c>
      <c r="J639">
        <v>220</v>
      </c>
      <c r="K639">
        <v>167.5</v>
      </c>
      <c r="L639" t="str">
        <f t="shared" si="39"/>
        <v>&gt;$150K</v>
      </c>
      <c r="M639">
        <v>30</v>
      </c>
    </row>
    <row r="640" spans="1:13">
      <c r="A640" t="s">
        <v>514</v>
      </c>
      <c r="B640" t="str">
        <f t="shared" si="36"/>
        <v>Mid-Level</v>
      </c>
      <c r="C640" t="str">
        <f t="shared" si="37"/>
        <v>ML Engineer</v>
      </c>
      <c r="D640">
        <v>2.6</v>
      </c>
      <c r="E640" t="s">
        <v>133</v>
      </c>
      <c r="F640" t="str">
        <f t="shared" si="38"/>
        <v>Pittsburgh</v>
      </c>
      <c r="G640" t="s">
        <v>9</v>
      </c>
      <c r="H640" t="s">
        <v>208</v>
      </c>
      <c r="I640">
        <v>71</v>
      </c>
      <c r="J640">
        <v>144</v>
      </c>
      <c r="K640">
        <v>107.5</v>
      </c>
      <c r="L640" t="str">
        <f t="shared" si="39"/>
        <v>$100–125K</v>
      </c>
      <c r="M640">
        <v>37</v>
      </c>
    </row>
    <row r="641" spans="1:13">
      <c r="A641" t="s">
        <v>515</v>
      </c>
      <c r="B641" t="str">
        <f t="shared" si="36"/>
        <v>Mid-Level</v>
      </c>
      <c r="C641" t="str">
        <f t="shared" si="37"/>
        <v>Data Analyst</v>
      </c>
      <c r="D641">
        <v>3.4</v>
      </c>
      <c r="E641" t="s">
        <v>29</v>
      </c>
      <c r="F641" t="str">
        <f t="shared" si="38"/>
        <v>Seattle</v>
      </c>
      <c r="G641" t="s">
        <v>9</v>
      </c>
      <c r="H641" t="s">
        <v>297</v>
      </c>
      <c r="I641">
        <v>32</v>
      </c>
      <c r="J641">
        <v>57</v>
      </c>
      <c r="K641">
        <v>44.5</v>
      </c>
      <c r="L641" t="str">
        <f t="shared" si="39"/>
        <v>&lt;$50K</v>
      </c>
      <c r="M641">
        <v>42</v>
      </c>
    </row>
    <row r="642" spans="1:13">
      <c r="A642" t="s">
        <v>516</v>
      </c>
      <c r="B642" t="str">
        <f t="shared" si="36"/>
        <v>Senior</v>
      </c>
      <c r="C642" t="str">
        <f t="shared" si="37"/>
        <v>Data Analyst</v>
      </c>
      <c r="D642">
        <v>3.3</v>
      </c>
      <c r="E642" t="s">
        <v>517</v>
      </c>
      <c r="F642" t="str">
        <f t="shared" si="38"/>
        <v>Glen Burnie</v>
      </c>
      <c r="G642" t="s">
        <v>19</v>
      </c>
      <c r="H642" t="s">
        <v>15</v>
      </c>
      <c r="I642">
        <v>79</v>
      </c>
      <c r="J642">
        <v>136</v>
      </c>
      <c r="K642">
        <v>107.5</v>
      </c>
      <c r="L642" t="str">
        <f t="shared" si="39"/>
        <v>$100–125K</v>
      </c>
      <c r="M642">
        <v>132</v>
      </c>
    </row>
    <row r="643" spans="1:13">
      <c r="A643" t="s">
        <v>518</v>
      </c>
      <c r="B643" t="str">
        <f t="shared" ref="B643:B706" si="40">IF(OR(ISNUMBER(SEARCH("Senior",A643)),ISNUMBER(SEARCH("Sr",A643)),ISNUMBER(SEARCH("Lead",A643)),ISNUMBER(SEARCH("Principal",A643))),"Senior",IF(OR(ISNUMBER(SEARCH("Junior",A643)),ISNUMBER(SEARCH("Jr",A643)),ISNUMBER(SEARCH("Entry",A643)),ISNUMBER(SEARCH("Associate",A643))),"Junior",IF(OR(ISNUMBER(SEARCH("Manager",A643)),ISNUMBER(SEARCH("Director",A643)),ISNUMBER(SEARCH("Head",A643)),ISNUMBER(SEARCH("VP",A643))),"Management","Mid-Level")))</f>
        <v>Senior</v>
      </c>
      <c r="C643" t="str">
        <f t="shared" ref="C643:C706" si="41">IF(ISNUMBER(SEARCH("Machine Learn",A643)),"ML Engineer",IF(ISNUMBER(SEARCH("Data Engineer",A643)),"Data Engineer",IF(ISNUMBER(SEARCH("Data Analyst",A643)),"Data Analyst",IF(ISNUMBER(SEARCH("Business Analyst",A643)),"Business Analyst",IF(ISNUMBER(SEARCH("Research",A643)),"Research Scientist",IF(ISNUMBER(SEARCH("Manager",A643)),"DS Manager",IF(ISNUMBER(SEARCH("Director",A643)),"Director/VP","Data Scientist")))))))</f>
        <v>Research Scientist</v>
      </c>
      <c r="D643">
        <v>-1</v>
      </c>
      <c r="E643" t="s">
        <v>44</v>
      </c>
      <c r="F643" t="str">
        <f t="shared" ref="F643:F706" si="42">IFERROR(LEFT(E643, FIND(",", E643)-1), E643)</f>
        <v>Cambridge</v>
      </c>
      <c r="G643" t="s">
        <v>89</v>
      </c>
      <c r="H643">
        <v>-1</v>
      </c>
      <c r="I643">
        <v>120</v>
      </c>
      <c r="J643">
        <v>145</v>
      </c>
      <c r="K643">
        <v>132.5</v>
      </c>
      <c r="L643" t="str">
        <f t="shared" ref="L643:L706" si="43">IF(K643&lt;50,"&lt;$50K",IF(K643&lt;75,"$50–75K",IF(K643&lt;100,"$75–100K",IF(K643&lt;125,"$100–125K",IF(K643&lt;150,"$125–150K","&gt;$150K")))))</f>
        <v>$125–150K</v>
      </c>
      <c r="M643">
        <v>-1</v>
      </c>
    </row>
    <row r="644" spans="1:13">
      <c r="A644" t="s">
        <v>334</v>
      </c>
      <c r="B644" t="str">
        <f t="shared" si="40"/>
        <v>Senior</v>
      </c>
      <c r="C644" t="str">
        <f t="shared" si="41"/>
        <v>Data Analyst</v>
      </c>
      <c r="D644">
        <v>3.7</v>
      </c>
      <c r="E644" t="s">
        <v>120</v>
      </c>
      <c r="F644" t="str">
        <f t="shared" si="42"/>
        <v>Philadelphia</v>
      </c>
      <c r="G644" t="s">
        <v>25</v>
      </c>
      <c r="H644" t="s">
        <v>15</v>
      </c>
      <c r="I644">
        <v>50</v>
      </c>
      <c r="J644">
        <v>89</v>
      </c>
      <c r="K644">
        <v>69.5</v>
      </c>
      <c r="L644" t="str">
        <f t="shared" si="43"/>
        <v>$50–75K</v>
      </c>
      <c r="M644">
        <v>27</v>
      </c>
    </row>
    <row r="645" spans="1:13">
      <c r="A645" t="s">
        <v>519</v>
      </c>
      <c r="B645" t="str">
        <f t="shared" si="40"/>
        <v>Senior</v>
      </c>
      <c r="C645" t="str">
        <f t="shared" si="41"/>
        <v>Data Scientist</v>
      </c>
      <c r="D645">
        <v>3.5</v>
      </c>
      <c r="E645" t="s">
        <v>520</v>
      </c>
      <c r="F645" t="str">
        <f t="shared" si="42"/>
        <v>Milpitas</v>
      </c>
      <c r="G645" t="s">
        <v>14</v>
      </c>
      <c r="H645" t="s">
        <v>76</v>
      </c>
      <c r="I645">
        <v>68</v>
      </c>
      <c r="J645">
        <v>129</v>
      </c>
      <c r="K645">
        <v>98.5</v>
      </c>
      <c r="L645" t="str">
        <f t="shared" si="43"/>
        <v>$75–100K</v>
      </c>
      <c r="M645">
        <v>51</v>
      </c>
    </row>
    <row r="646" spans="1:13">
      <c r="A646" t="s">
        <v>521</v>
      </c>
      <c r="B646" t="str">
        <f t="shared" si="40"/>
        <v>Mid-Level</v>
      </c>
      <c r="C646" t="str">
        <f t="shared" si="41"/>
        <v>Data Scientist</v>
      </c>
      <c r="D646">
        <v>2.7</v>
      </c>
      <c r="E646" t="s">
        <v>176</v>
      </c>
      <c r="F646" t="str">
        <f t="shared" si="42"/>
        <v>Rockville</v>
      </c>
      <c r="G646" t="s">
        <v>25</v>
      </c>
      <c r="H646" t="s">
        <v>45</v>
      </c>
      <c r="I646">
        <v>48</v>
      </c>
      <c r="J646">
        <v>113</v>
      </c>
      <c r="K646">
        <v>80.5</v>
      </c>
      <c r="L646" t="str">
        <f t="shared" si="43"/>
        <v>$75–100K</v>
      </c>
      <c r="M646">
        <v>60</v>
      </c>
    </row>
    <row r="647" spans="1:13">
      <c r="A647" t="s">
        <v>522</v>
      </c>
      <c r="B647" t="str">
        <f t="shared" si="40"/>
        <v>Mid-Level</v>
      </c>
      <c r="C647" t="str">
        <f t="shared" si="41"/>
        <v>Data Scientist</v>
      </c>
      <c r="D647">
        <v>3.8</v>
      </c>
      <c r="E647" t="s">
        <v>523</v>
      </c>
      <c r="F647" t="str">
        <f t="shared" si="42"/>
        <v>Watertown</v>
      </c>
      <c r="G647" t="s">
        <v>22</v>
      </c>
      <c r="H647" t="s">
        <v>45</v>
      </c>
      <c r="I647">
        <v>56</v>
      </c>
      <c r="J647">
        <v>97</v>
      </c>
      <c r="K647">
        <v>76.5</v>
      </c>
      <c r="L647" t="str">
        <f t="shared" si="43"/>
        <v>$75–100K</v>
      </c>
      <c r="M647">
        <v>13</v>
      </c>
    </row>
    <row r="648" spans="1:13">
      <c r="A648" t="s">
        <v>524</v>
      </c>
      <c r="B648" t="str">
        <f t="shared" si="40"/>
        <v>Mid-Level</v>
      </c>
      <c r="C648" t="str">
        <f t="shared" si="41"/>
        <v>Data Scientist</v>
      </c>
      <c r="D648">
        <v>3.7</v>
      </c>
      <c r="E648" t="s">
        <v>525</v>
      </c>
      <c r="F648" t="str">
        <f t="shared" si="42"/>
        <v>Cambridge</v>
      </c>
      <c r="G648" t="s">
        <v>14</v>
      </c>
      <c r="H648" t="s">
        <v>10</v>
      </c>
      <c r="I648">
        <v>74</v>
      </c>
      <c r="J648">
        <v>124</v>
      </c>
      <c r="K648">
        <v>99</v>
      </c>
      <c r="L648" t="str">
        <f t="shared" si="43"/>
        <v>$75–100K</v>
      </c>
      <c r="M648">
        <v>99</v>
      </c>
    </row>
    <row r="649" spans="1:13">
      <c r="A649" t="s">
        <v>526</v>
      </c>
      <c r="B649" t="str">
        <f t="shared" si="40"/>
        <v>Management</v>
      </c>
      <c r="C649" t="str">
        <f t="shared" si="41"/>
        <v>DS Manager</v>
      </c>
      <c r="D649">
        <v>3.8</v>
      </c>
      <c r="E649" t="s">
        <v>44</v>
      </c>
      <c r="F649" t="str">
        <f t="shared" si="42"/>
        <v>Cambridge</v>
      </c>
      <c r="G649" t="s">
        <v>9</v>
      </c>
      <c r="H649" t="s">
        <v>45</v>
      </c>
      <c r="I649">
        <v>68</v>
      </c>
      <c r="J649">
        <v>125</v>
      </c>
      <c r="K649">
        <v>96.5</v>
      </c>
      <c r="L649" t="str">
        <f t="shared" si="43"/>
        <v>$75–100K</v>
      </c>
      <c r="M649">
        <v>13</v>
      </c>
    </row>
    <row r="650" spans="1:13">
      <c r="A650" t="s">
        <v>527</v>
      </c>
      <c r="B650" t="str">
        <f t="shared" si="40"/>
        <v>Management</v>
      </c>
      <c r="C650" t="str">
        <f t="shared" si="41"/>
        <v>Director/VP</v>
      </c>
      <c r="D650">
        <v>3.3</v>
      </c>
      <c r="E650" t="s">
        <v>102</v>
      </c>
      <c r="F650" t="str">
        <f t="shared" si="42"/>
        <v>Boston</v>
      </c>
      <c r="G650" t="s">
        <v>14</v>
      </c>
      <c r="H650" t="s">
        <v>55</v>
      </c>
      <c r="I650">
        <v>39</v>
      </c>
      <c r="J650">
        <v>67</v>
      </c>
      <c r="K650">
        <v>53</v>
      </c>
      <c r="L650" t="str">
        <f t="shared" si="43"/>
        <v>$50–75K</v>
      </c>
      <c r="M650">
        <v>109</v>
      </c>
    </row>
    <row r="651" spans="1:13">
      <c r="A651" t="s">
        <v>528</v>
      </c>
      <c r="B651" t="str">
        <f t="shared" si="40"/>
        <v>Senior</v>
      </c>
      <c r="C651" t="str">
        <f t="shared" si="41"/>
        <v>Data Engineer</v>
      </c>
      <c r="D651">
        <v>2.7</v>
      </c>
      <c r="E651" t="s">
        <v>179</v>
      </c>
      <c r="F651" t="str">
        <f t="shared" si="42"/>
        <v>Los Angeles</v>
      </c>
      <c r="G651" s="1">
        <v>18264</v>
      </c>
      <c r="H651" t="s">
        <v>52</v>
      </c>
      <c r="I651">
        <v>71</v>
      </c>
      <c r="J651">
        <v>135</v>
      </c>
      <c r="K651">
        <v>103</v>
      </c>
      <c r="L651" t="str">
        <f t="shared" si="43"/>
        <v>$100–125K</v>
      </c>
      <c r="M651">
        <v>10</v>
      </c>
    </row>
    <row r="652" spans="1:13">
      <c r="A652" t="s">
        <v>111</v>
      </c>
      <c r="B652" t="str">
        <f t="shared" si="40"/>
        <v>Senior</v>
      </c>
      <c r="C652" t="str">
        <f t="shared" si="41"/>
        <v>Data Scientist</v>
      </c>
      <c r="D652">
        <v>3.8</v>
      </c>
      <c r="E652" t="s">
        <v>112</v>
      </c>
      <c r="F652" t="str">
        <f t="shared" si="42"/>
        <v>Palo Alto</v>
      </c>
      <c r="G652" t="s">
        <v>9</v>
      </c>
      <c r="H652" t="s">
        <v>113</v>
      </c>
      <c r="I652">
        <v>107</v>
      </c>
      <c r="J652">
        <v>172</v>
      </c>
      <c r="K652">
        <v>139.5</v>
      </c>
      <c r="L652" t="str">
        <f t="shared" si="43"/>
        <v>$125–150K</v>
      </c>
      <c r="M652">
        <v>15</v>
      </c>
    </row>
    <row r="653" spans="1:13">
      <c r="A653" t="s">
        <v>114</v>
      </c>
      <c r="B653" t="str">
        <f t="shared" si="40"/>
        <v>Mid-Level</v>
      </c>
      <c r="C653" t="str">
        <f t="shared" si="41"/>
        <v>Data Scientist</v>
      </c>
      <c r="D653">
        <v>3.8</v>
      </c>
      <c r="E653" t="s">
        <v>18</v>
      </c>
      <c r="F653" t="str">
        <f t="shared" si="42"/>
        <v>Richland</v>
      </c>
      <c r="G653" t="s">
        <v>19</v>
      </c>
      <c r="H653" t="s">
        <v>20</v>
      </c>
      <c r="I653">
        <v>49</v>
      </c>
      <c r="J653">
        <v>85</v>
      </c>
      <c r="K653">
        <v>67</v>
      </c>
      <c r="L653" t="str">
        <f t="shared" si="43"/>
        <v>$50–75K</v>
      </c>
      <c r="M653">
        <v>56</v>
      </c>
    </row>
    <row r="654" spans="1:13">
      <c r="A654" t="s">
        <v>358</v>
      </c>
      <c r="B654" t="str">
        <f t="shared" si="40"/>
        <v>Mid-Level</v>
      </c>
      <c r="C654" t="str">
        <f t="shared" si="41"/>
        <v>Data Scientist</v>
      </c>
      <c r="D654">
        <v>3</v>
      </c>
      <c r="E654" t="s">
        <v>359</v>
      </c>
      <c r="F654" t="str">
        <f t="shared" si="42"/>
        <v>Hartford</v>
      </c>
      <c r="G654" t="s">
        <v>14</v>
      </c>
      <c r="H654" t="s">
        <v>74</v>
      </c>
      <c r="I654">
        <v>54</v>
      </c>
      <c r="J654">
        <v>71</v>
      </c>
      <c r="K654">
        <v>62.5</v>
      </c>
      <c r="L654" t="str">
        <f t="shared" si="43"/>
        <v>$50–75K</v>
      </c>
      <c r="M654">
        <v>40</v>
      </c>
    </row>
    <row r="655" spans="1:13">
      <c r="A655" t="s">
        <v>529</v>
      </c>
      <c r="B655" t="str">
        <f t="shared" si="40"/>
        <v>Mid-Level</v>
      </c>
      <c r="C655" t="str">
        <f t="shared" si="41"/>
        <v>Data Scientist</v>
      </c>
      <c r="D655">
        <v>3.9</v>
      </c>
      <c r="E655" t="s">
        <v>461</v>
      </c>
      <c r="F655" t="str">
        <f t="shared" si="42"/>
        <v>Gaithersburg</v>
      </c>
      <c r="G655" t="s">
        <v>14</v>
      </c>
      <c r="H655" t="s">
        <v>45</v>
      </c>
      <c r="I655">
        <v>61</v>
      </c>
      <c r="J655">
        <v>123</v>
      </c>
      <c r="K655">
        <v>92</v>
      </c>
      <c r="L655" t="str">
        <f t="shared" si="43"/>
        <v>$75–100K</v>
      </c>
      <c r="M655">
        <v>108</v>
      </c>
    </row>
    <row r="656" spans="1:13">
      <c r="A656" t="s">
        <v>43</v>
      </c>
      <c r="B656" t="str">
        <f t="shared" si="40"/>
        <v>Mid-Level</v>
      </c>
      <c r="C656" t="str">
        <f t="shared" si="41"/>
        <v>Data Analyst</v>
      </c>
      <c r="D656">
        <v>3.6</v>
      </c>
      <c r="E656" t="s">
        <v>21</v>
      </c>
      <c r="F656" t="str">
        <f t="shared" si="42"/>
        <v>New York</v>
      </c>
      <c r="G656" s="1">
        <v>18264</v>
      </c>
      <c r="H656" t="s">
        <v>15</v>
      </c>
      <c r="I656">
        <v>47</v>
      </c>
      <c r="J656">
        <v>85</v>
      </c>
      <c r="K656">
        <v>66</v>
      </c>
      <c r="L656" t="str">
        <f t="shared" si="43"/>
        <v>$50–75K</v>
      </c>
      <c r="M656">
        <v>41</v>
      </c>
    </row>
    <row r="657" spans="1:13">
      <c r="A657" t="s">
        <v>80</v>
      </c>
      <c r="B657" t="str">
        <f t="shared" si="40"/>
        <v>Mid-Level</v>
      </c>
      <c r="C657" t="str">
        <f t="shared" si="41"/>
        <v>Data Engineer</v>
      </c>
      <c r="D657">
        <v>3.5</v>
      </c>
      <c r="E657" t="s">
        <v>360</v>
      </c>
      <c r="F657" t="str">
        <f t="shared" si="42"/>
        <v>Orange</v>
      </c>
      <c r="G657" t="s">
        <v>9</v>
      </c>
      <c r="H657" t="s">
        <v>15</v>
      </c>
      <c r="I657">
        <v>65</v>
      </c>
      <c r="J657">
        <v>124</v>
      </c>
      <c r="K657">
        <v>94.5</v>
      </c>
      <c r="L657" t="str">
        <f t="shared" si="43"/>
        <v>$75–100K</v>
      </c>
      <c r="M657">
        <v>8</v>
      </c>
    </row>
    <row r="658" spans="1:13">
      <c r="A658" t="s">
        <v>7</v>
      </c>
      <c r="B658" t="str">
        <f t="shared" si="40"/>
        <v>Mid-Level</v>
      </c>
      <c r="C658" t="str">
        <f t="shared" si="41"/>
        <v>Data Scientist</v>
      </c>
      <c r="D658">
        <v>3.6</v>
      </c>
      <c r="E658" t="s">
        <v>438</v>
      </c>
      <c r="F658" t="str">
        <f t="shared" si="42"/>
        <v>Fort Lee</v>
      </c>
      <c r="G658" t="s">
        <v>19</v>
      </c>
      <c r="H658" t="s">
        <v>23</v>
      </c>
      <c r="I658">
        <v>87</v>
      </c>
      <c r="J658">
        <v>141</v>
      </c>
      <c r="K658">
        <v>114</v>
      </c>
      <c r="L658" t="str">
        <f t="shared" si="43"/>
        <v>$100–125K</v>
      </c>
      <c r="M658">
        <v>32</v>
      </c>
    </row>
    <row r="659" spans="1:13">
      <c r="A659" t="s">
        <v>7</v>
      </c>
      <c r="B659" t="str">
        <f t="shared" si="40"/>
        <v>Mid-Level</v>
      </c>
      <c r="C659" t="str">
        <f t="shared" si="41"/>
        <v>Data Scientist</v>
      </c>
      <c r="D659">
        <v>4.2</v>
      </c>
      <c r="E659" t="s">
        <v>21</v>
      </c>
      <c r="F659" t="str">
        <f t="shared" si="42"/>
        <v>New York</v>
      </c>
      <c r="G659" t="s">
        <v>22</v>
      </c>
      <c r="H659" t="s">
        <v>163</v>
      </c>
      <c r="I659">
        <v>56</v>
      </c>
      <c r="J659">
        <v>95</v>
      </c>
      <c r="K659">
        <v>75.5</v>
      </c>
      <c r="L659" t="str">
        <f t="shared" si="43"/>
        <v>$75–100K</v>
      </c>
      <c r="M659">
        <v>9</v>
      </c>
    </row>
    <row r="660" spans="1:13">
      <c r="A660" t="s">
        <v>7</v>
      </c>
      <c r="B660" t="str">
        <f t="shared" si="40"/>
        <v>Mid-Level</v>
      </c>
      <c r="C660" t="str">
        <f t="shared" si="41"/>
        <v>Data Scientist</v>
      </c>
      <c r="D660">
        <v>3.5</v>
      </c>
      <c r="E660" t="s">
        <v>129</v>
      </c>
      <c r="F660" t="str">
        <f t="shared" si="42"/>
        <v>Maryland Heights</v>
      </c>
      <c r="G660" s="1">
        <v>18264</v>
      </c>
      <c r="H660" t="s">
        <v>327</v>
      </c>
      <c r="I660">
        <v>71</v>
      </c>
      <c r="J660">
        <v>121</v>
      </c>
      <c r="K660">
        <v>96</v>
      </c>
      <c r="L660" t="str">
        <f t="shared" si="43"/>
        <v>$75–100K</v>
      </c>
      <c r="M660">
        <v>-1</v>
      </c>
    </row>
    <row r="661" spans="1:13">
      <c r="A661" t="s">
        <v>196</v>
      </c>
      <c r="B661" t="str">
        <f t="shared" si="40"/>
        <v>Mid-Level</v>
      </c>
      <c r="C661" t="str">
        <f t="shared" si="41"/>
        <v>ML Engineer</v>
      </c>
      <c r="D661">
        <v>4</v>
      </c>
      <c r="E661" t="s">
        <v>157</v>
      </c>
      <c r="F661" t="str">
        <f t="shared" si="42"/>
        <v>Fort Belvoir</v>
      </c>
      <c r="G661" t="s">
        <v>9</v>
      </c>
      <c r="H661" t="s">
        <v>10</v>
      </c>
      <c r="I661">
        <v>62</v>
      </c>
      <c r="J661">
        <v>112</v>
      </c>
      <c r="K661">
        <v>87</v>
      </c>
      <c r="L661" t="str">
        <f t="shared" si="43"/>
        <v>$75–100K</v>
      </c>
      <c r="M661">
        <v>67</v>
      </c>
    </row>
    <row r="662" spans="1:13">
      <c r="A662" t="s">
        <v>7</v>
      </c>
      <c r="B662" t="str">
        <f t="shared" si="40"/>
        <v>Mid-Level</v>
      </c>
      <c r="C662" t="str">
        <f t="shared" si="41"/>
        <v>Data Scientist</v>
      </c>
      <c r="D662">
        <v>3.7</v>
      </c>
      <c r="E662" t="s">
        <v>159</v>
      </c>
      <c r="F662" t="str">
        <f t="shared" si="42"/>
        <v>Silver Spring</v>
      </c>
      <c r="G662" t="s">
        <v>25</v>
      </c>
      <c r="H662" t="s">
        <v>74</v>
      </c>
      <c r="I662">
        <v>64</v>
      </c>
      <c r="J662">
        <v>108</v>
      </c>
      <c r="K662">
        <v>86</v>
      </c>
      <c r="L662" t="str">
        <f t="shared" si="43"/>
        <v>$75–100K</v>
      </c>
      <c r="M662">
        <v>15</v>
      </c>
    </row>
    <row r="663" spans="1:13">
      <c r="A663" t="s">
        <v>78</v>
      </c>
      <c r="B663" t="str">
        <f t="shared" si="40"/>
        <v>Senior</v>
      </c>
      <c r="C663" t="str">
        <f t="shared" si="41"/>
        <v>Data Scientist</v>
      </c>
      <c r="D663">
        <v>4.4000000000000004</v>
      </c>
      <c r="E663" t="s">
        <v>112</v>
      </c>
      <c r="F663" t="str">
        <f t="shared" si="42"/>
        <v>Palo Alto</v>
      </c>
      <c r="G663" s="1">
        <v>18264</v>
      </c>
      <c r="H663" t="s">
        <v>33</v>
      </c>
      <c r="I663">
        <v>89</v>
      </c>
      <c r="J663">
        <v>144</v>
      </c>
      <c r="K663">
        <v>116.5</v>
      </c>
      <c r="L663" t="str">
        <f t="shared" si="43"/>
        <v>$100–125K</v>
      </c>
      <c r="M663">
        <v>9</v>
      </c>
    </row>
    <row r="664" spans="1:13">
      <c r="A664" t="s">
        <v>361</v>
      </c>
      <c r="B664" t="str">
        <f t="shared" si="40"/>
        <v>Senior</v>
      </c>
      <c r="C664" t="str">
        <f t="shared" si="41"/>
        <v>Data Scientist</v>
      </c>
      <c r="D664">
        <v>3.5</v>
      </c>
      <c r="E664" t="s">
        <v>82</v>
      </c>
      <c r="F664" t="str">
        <f t="shared" si="42"/>
        <v>Marlborough</v>
      </c>
      <c r="G664" t="s">
        <v>19</v>
      </c>
      <c r="H664" t="s">
        <v>45</v>
      </c>
      <c r="I664">
        <v>109</v>
      </c>
      <c r="J664">
        <v>200</v>
      </c>
      <c r="K664">
        <v>154.5</v>
      </c>
      <c r="L664" t="str">
        <f t="shared" si="43"/>
        <v>&gt;$150K</v>
      </c>
      <c r="M664">
        <v>11</v>
      </c>
    </row>
    <row r="665" spans="1:13">
      <c r="A665" t="s">
        <v>266</v>
      </c>
      <c r="B665" t="str">
        <f t="shared" si="40"/>
        <v>Mid-Level</v>
      </c>
      <c r="C665" t="str">
        <f t="shared" si="41"/>
        <v>Data Analyst</v>
      </c>
      <c r="D665">
        <v>3.6</v>
      </c>
      <c r="E665" t="s">
        <v>267</v>
      </c>
      <c r="F665" t="str">
        <f t="shared" si="42"/>
        <v>Highland</v>
      </c>
      <c r="G665" t="s">
        <v>19</v>
      </c>
      <c r="H665" t="s">
        <v>268</v>
      </c>
      <c r="I665">
        <v>35</v>
      </c>
      <c r="J665">
        <v>62</v>
      </c>
      <c r="K665">
        <v>48.5</v>
      </c>
      <c r="L665" t="str">
        <f t="shared" si="43"/>
        <v>&lt;$50K</v>
      </c>
      <c r="M665">
        <v>35</v>
      </c>
    </row>
    <row r="666" spans="1:13">
      <c r="A666" t="s">
        <v>362</v>
      </c>
      <c r="B666" t="str">
        <f t="shared" si="40"/>
        <v>Mid-Level</v>
      </c>
      <c r="C666" t="str">
        <f t="shared" si="41"/>
        <v>ML Engineer</v>
      </c>
      <c r="D666">
        <v>3.7</v>
      </c>
      <c r="E666" t="s">
        <v>363</v>
      </c>
      <c r="F666" t="str">
        <f t="shared" si="42"/>
        <v>Lenexa</v>
      </c>
      <c r="G666" t="s">
        <v>9</v>
      </c>
      <c r="H666" t="s">
        <v>364</v>
      </c>
      <c r="I666">
        <v>61</v>
      </c>
      <c r="J666">
        <v>113</v>
      </c>
      <c r="K666">
        <v>87</v>
      </c>
      <c r="L666" t="str">
        <f t="shared" si="43"/>
        <v>$75–100K</v>
      </c>
      <c r="M666">
        <v>48</v>
      </c>
    </row>
    <row r="667" spans="1:13">
      <c r="A667" t="s">
        <v>80</v>
      </c>
      <c r="B667" t="str">
        <f t="shared" si="40"/>
        <v>Mid-Level</v>
      </c>
      <c r="C667" t="str">
        <f t="shared" si="41"/>
        <v>Data Engineer</v>
      </c>
      <c r="D667">
        <v>3.4</v>
      </c>
      <c r="E667" t="s">
        <v>162</v>
      </c>
      <c r="F667" t="str">
        <f t="shared" si="42"/>
        <v>Houston</v>
      </c>
      <c r="G667" t="s">
        <v>9</v>
      </c>
      <c r="H667" t="s">
        <v>74</v>
      </c>
      <c r="I667">
        <v>55</v>
      </c>
      <c r="J667">
        <v>105</v>
      </c>
      <c r="K667">
        <v>80</v>
      </c>
      <c r="L667" t="str">
        <f t="shared" si="43"/>
        <v>$75–100K</v>
      </c>
      <c r="M667">
        <v>19</v>
      </c>
    </row>
    <row r="668" spans="1:13">
      <c r="A668" t="s">
        <v>269</v>
      </c>
      <c r="B668" t="str">
        <f t="shared" si="40"/>
        <v>Mid-Level</v>
      </c>
      <c r="C668" t="str">
        <f t="shared" si="41"/>
        <v>Data Scientist</v>
      </c>
      <c r="D668">
        <v>4</v>
      </c>
      <c r="E668" t="s">
        <v>270</v>
      </c>
      <c r="F668" t="str">
        <f t="shared" si="42"/>
        <v>Burleson</v>
      </c>
      <c r="G668" t="s">
        <v>19</v>
      </c>
      <c r="H668" t="s">
        <v>15</v>
      </c>
      <c r="I668">
        <v>37</v>
      </c>
      <c r="J668">
        <v>52</v>
      </c>
      <c r="K668">
        <v>44.5</v>
      </c>
      <c r="L668" t="str">
        <f t="shared" si="43"/>
        <v>&lt;$50K</v>
      </c>
      <c r="M668">
        <v>44</v>
      </c>
    </row>
    <row r="669" spans="1:13">
      <c r="A669" t="s">
        <v>463</v>
      </c>
      <c r="B669" t="str">
        <f t="shared" si="40"/>
        <v>Senior</v>
      </c>
      <c r="C669" t="str">
        <f t="shared" si="41"/>
        <v>Data Scientist</v>
      </c>
      <c r="D669">
        <v>3.7</v>
      </c>
      <c r="E669" t="s">
        <v>28</v>
      </c>
      <c r="F669" t="str">
        <f t="shared" si="42"/>
        <v>San Jose</v>
      </c>
      <c r="G669" t="s">
        <v>14</v>
      </c>
      <c r="H669" t="s">
        <v>10</v>
      </c>
      <c r="I669">
        <v>135</v>
      </c>
      <c r="J669">
        <v>211</v>
      </c>
      <c r="K669">
        <v>173</v>
      </c>
      <c r="L669" t="str">
        <f t="shared" si="43"/>
        <v>&gt;$150K</v>
      </c>
      <c r="M669">
        <v>82</v>
      </c>
    </row>
    <row r="670" spans="1:13">
      <c r="A670" t="s">
        <v>271</v>
      </c>
      <c r="B670" t="str">
        <f t="shared" si="40"/>
        <v>Mid-Level</v>
      </c>
      <c r="C670" t="str">
        <f t="shared" si="41"/>
        <v>Data Scientist</v>
      </c>
      <c r="D670">
        <v>2.4</v>
      </c>
      <c r="E670" t="s">
        <v>272</v>
      </c>
      <c r="F670" t="str">
        <f t="shared" si="42"/>
        <v>Hoopeston</v>
      </c>
      <c r="G670" t="s">
        <v>9</v>
      </c>
      <c r="H670" t="s">
        <v>273</v>
      </c>
      <c r="I670">
        <v>39</v>
      </c>
      <c r="J670">
        <v>66</v>
      </c>
      <c r="K670">
        <v>52.5</v>
      </c>
      <c r="L670" t="str">
        <f t="shared" si="43"/>
        <v>$50–75K</v>
      </c>
      <c r="M670">
        <v>-1</v>
      </c>
    </row>
    <row r="671" spans="1:13">
      <c r="A671" t="s">
        <v>80</v>
      </c>
      <c r="B671" t="str">
        <f t="shared" si="40"/>
        <v>Mid-Level</v>
      </c>
      <c r="C671" t="str">
        <f t="shared" si="41"/>
        <v>Data Engineer</v>
      </c>
      <c r="D671">
        <v>3.5</v>
      </c>
      <c r="E671" t="s">
        <v>170</v>
      </c>
      <c r="F671" t="str">
        <f t="shared" si="42"/>
        <v>Phoenix</v>
      </c>
      <c r="G671" t="s">
        <v>9</v>
      </c>
      <c r="H671" t="s">
        <v>45</v>
      </c>
      <c r="I671">
        <v>57</v>
      </c>
      <c r="J671">
        <v>80</v>
      </c>
      <c r="K671">
        <v>68.5</v>
      </c>
      <c r="L671" t="str">
        <f t="shared" si="43"/>
        <v>$50–75K</v>
      </c>
      <c r="M671">
        <v>24</v>
      </c>
    </row>
    <row r="672" spans="1:13">
      <c r="A672" t="s">
        <v>465</v>
      </c>
      <c r="B672" t="str">
        <f t="shared" si="40"/>
        <v>Senior</v>
      </c>
      <c r="C672" t="str">
        <f t="shared" si="41"/>
        <v>Data Scientist</v>
      </c>
      <c r="D672">
        <v>3.9</v>
      </c>
      <c r="E672" t="s">
        <v>461</v>
      </c>
      <c r="F672" t="str">
        <f t="shared" si="42"/>
        <v>Gaithersburg</v>
      </c>
      <c r="G672" t="s">
        <v>14</v>
      </c>
      <c r="H672" t="s">
        <v>45</v>
      </c>
      <c r="I672">
        <v>63</v>
      </c>
      <c r="J672">
        <v>127</v>
      </c>
      <c r="K672">
        <v>95</v>
      </c>
      <c r="L672" t="str">
        <f t="shared" si="43"/>
        <v>$75–100K</v>
      </c>
      <c r="M672">
        <v>108</v>
      </c>
    </row>
    <row r="673" spans="1:13">
      <c r="A673" t="s">
        <v>466</v>
      </c>
      <c r="B673" t="str">
        <f t="shared" si="40"/>
        <v>Mid-Level</v>
      </c>
      <c r="C673" t="str">
        <f t="shared" si="41"/>
        <v>Data Scientist</v>
      </c>
      <c r="D673">
        <v>3.2</v>
      </c>
      <c r="E673" t="s">
        <v>155</v>
      </c>
      <c r="F673" t="str">
        <f t="shared" si="42"/>
        <v>Bedford</v>
      </c>
      <c r="G673" t="s">
        <v>38</v>
      </c>
      <c r="H673" t="s">
        <v>156</v>
      </c>
      <c r="I673">
        <v>50</v>
      </c>
      <c r="J673">
        <v>89</v>
      </c>
      <c r="K673">
        <v>69.5</v>
      </c>
      <c r="L673" t="str">
        <f t="shared" si="43"/>
        <v>$50–75K</v>
      </c>
      <c r="M673">
        <v>63</v>
      </c>
    </row>
    <row r="674" spans="1:13">
      <c r="A674" t="s">
        <v>78</v>
      </c>
      <c r="B674" t="str">
        <f t="shared" si="40"/>
        <v>Senior</v>
      </c>
      <c r="C674" t="str">
        <f t="shared" si="41"/>
        <v>Data Scientist</v>
      </c>
      <c r="D674">
        <v>4.4000000000000004</v>
      </c>
      <c r="E674" t="s">
        <v>109</v>
      </c>
      <c r="F674" t="str">
        <f t="shared" si="42"/>
        <v>Cincinnati</v>
      </c>
      <c r="G674" t="s">
        <v>25</v>
      </c>
      <c r="H674" t="s">
        <v>110</v>
      </c>
      <c r="I674">
        <v>82</v>
      </c>
      <c r="J674">
        <v>132</v>
      </c>
      <c r="K674">
        <v>107</v>
      </c>
      <c r="L674" t="str">
        <f t="shared" si="43"/>
        <v>$100–125K</v>
      </c>
      <c r="M674">
        <v>136</v>
      </c>
    </row>
    <row r="675" spans="1:13">
      <c r="A675" t="s">
        <v>130</v>
      </c>
      <c r="B675" t="str">
        <f t="shared" si="40"/>
        <v>Senior</v>
      </c>
      <c r="C675" t="str">
        <f t="shared" si="41"/>
        <v>Data Scientist</v>
      </c>
      <c r="D675">
        <v>3.9</v>
      </c>
      <c r="E675" t="s">
        <v>131</v>
      </c>
      <c r="F675" t="str">
        <f t="shared" si="42"/>
        <v>Charlottesville</v>
      </c>
      <c r="G675" t="s">
        <v>9</v>
      </c>
      <c r="H675" t="s">
        <v>74</v>
      </c>
      <c r="I675">
        <v>85</v>
      </c>
      <c r="J675">
        <v>139</v>
      </c>
      <c r="K675">
        <v>112</v>
      </c>
      <c r="L675" t="str">
        <f t="shared" si="43"/>
        <v>$100–125K</v>
      </c>
      <c r="M675">
        <v>11</v>
      </c>
    </row>
    <row r="676" spans="1:13">
      <c r="A676" t="s">
        <v>7</v>
      </c>
      <c r="B676" t="str">
        <f t="shared" si="40"/>
        <v>Mid-Level</v>
      </c>
      <c r="C676" t="str">
        <f t="shared" si="41"/>
        <v>Data Scientist</v>
      </c>
      <c r="D676">
        <v>3.4</v>
      </c>
      <c r="E676" t="s">
        <v>87</v>
      </c>
      <c r="F676" t="str">
        <f t="shared" si="42"/>
        <v>Washington</v>
      </c>
      <c r="G676" t="s">
        <v>22</v>
      </c>
      <c r="H676" t="s">
        <v>30</v>
      </c>
      <c r="I676">
        <v>72</v>
      </c>
      <c r="J676">
        <v>121</v>
      </c>
      <c r="K676">
        <v>96.5</v>
      </c>
      <c r="L676" t="str">
        <f t="shared" si="43"/>
        <v>$75–100K</v>
      </c>
      <c r="M676">
        <v>24</v>
      </c>
    </row>
    <row r="677" spans="1:13">
      <c r="A677" t="s">
        <v>365</v>
      </c>
      <c r="B677" t="str">
        <f t="shared" si="40"/>
        <v>Mid-Level</v>
      </c>
      <c r="C677" t="str">
        <f t="shared" si="41"/>
        <v>Data Scientist</v>
      </c>
      <c r="D677">
        <v>2.1</v>
      </c>
      <c r="E677" t="s">
        <v>366</v>
      </c>
      <c r="F677" t="str">
        <f t="shared" si="42"/>
        <v>Concord</v>
      </c>
      <c r="G677" t="s">
        <v>25</v>
      </c>
      <c r="H677" t="s">
        <v>45</v>
      </c>
      <c r="I677">
        <v>74</v>
      </c>
      <c r="J677">
        <v>149</v>
      </c>
      <c r="K677">
        <v>111.5</v>
      </c>
      <c r="L677" t="str">
        <f t="shared" si="43"/>
        <v>$100–125K</v>
      </c>
      <c r="M677">
        <v>-1</v>
      </c>
    </row>
    <row r="678" spans="1:13">
      <c r="A678" t="s">
        <v>367</v>
      </c>
      <c r="B678" t="str">
        <f t="shared" si="40"/>
        <v>Junior</v>
      </c>
      <c r="C678" t="str">
        <f t="shared" si="41"/>
        <v>Data Engineer</v>
      </c>
      <c r="D678">
        <v>3.7</v>
      </c>
      <c r="E678" t="s">
        <v>44</v>
      </c>
      <c r="F678" t="str">
        <f t="shared" si="42"/>
        <v>Cambridge</v>
      </c>
      <c r="G678" t="s">
        <v>14</v>
      </c>
      <c r="H678" t="s">
        <v>45</v>
      </c>
      <c r="I678">
        <v>113</v>
      </c>
      <c r="J678">
        <v>196</v>
      </c>
      <c r="K678">
        <v>154.5</v>
      </c>
      <c r="L678" t="str">
        <f t="shared" si="43"/>
        <v>&gt;$150K</v>
      </c>
      <c r="M678">
        <v>240</v>
      </c>
    </row>
    <row r="679" spans="1:13">
      <c r="A679" t="s">
        <v>7</v>
      </c>
      <c r="B679" t="str">
        <f t="shared" si="40"/>
        <v>Mid-Level</v>
      </c>
      <c r="C679" t="str">
        <f t="shared" si="41"/>
        <v>Data Scientist</v>
      </c>
      <c r="D679">
        <v>3.4</v>
      </c>
      <c r="E679" t="s">
        <v>21</v>
      </c>
      <c r="F679" t="str">
        <f t="shared" si="42"/>
        <v>New York</v>
      </c>
      <c r="G679" t="s">
        <v>25</v>
      </c>
      <c r="H679" t="s">
        <v>15</v>
      </c>
      <c r="I679">
        <v>69</v>
      </c>
      <c r="J679">
        <v>121</v>
      </c>
      <c r="K679">
        <v>95</v>
      </c>
      <c r="L679" t="str">
        <f t="shared" si="43"/>
        <v>$75–100K</v>
      </c>
      <c r="M679">
        <v>10</v>
      </c>
    </row>
    <row r="680" spans="1:13">
      <c r="A680" t="s">
        <v>7</v>
      </c>
      <c r="B680" t="str">
        <f t="shared" si="40"/>
        <v>Mid-Level</v>
      </c>
      <c r="C680" t="str">
        <f t="shared" si="41"/>
        <v>Data Scientist</v>
      </c>
      <c r="D680">
        <v>4</v>
      </c>
      <c r="E680" t="s">
        <v>21</v>
      </c>
      <c r="F680" t="str">
        <f t="shared" si="42"/>
        <v>New York</v>
      </c>
      <c r="G680" t="s">
        <v>9</v>
      </c>
      <c r="H680" t="s">
        <v>467</v>
      </c>
      <c r="I680">
        <v>71</v>
      </c>
      <c r="J680">
        <v>124</v>
      </c>
      <c r="K680">
        <v>97.5</v>
      </c>
      <c r="L680" t="str">
        <f t="shared" si="43"/>
        <v>$75–100K</v>
      </c>
      <c r="M680">
        <v>14</v>
      </c>
    </row>
    <row r="681" spans="1:13">
      <c r="A681" t="s">
        <v>78</v>
      </c>
      <c r="B681" t="str">
        <f t="shared" si="40"/>
        <v>Senior</v>
      </c>
      <c r="C681" t="str">
        <f t="shared" si="41"/>
        <v>Data Scientist</v>
      </c>
      <c r="D681">
        <v>4.4000000000000004</v>
      </c>
      <c r="E681" t="s">
        <v>59</v>
      </c>
      <c r="F681" t="str">
        <f t="shared" si="42"/>
        <v>Chicago</v>
      </c>
      <c r="G681" t="s">
        <v>25</v>
      </c>
      <c r="H681" t="s">
        <v>30</v>
      </c>
      <c r="I681">
        <v>97</v>
      </c>
      <c r="J681">
        <v>160</v>
      </c>
      <c r="K681">
        <v>128.5</v>
      </c>
      <c r="L681" t="str">
        <f t="shared" si="43"/>
        <v>$125–150K</v>
      </c>
      <c r="M681">
        <v>13</v>
      </c>
    </row>
    <row r="682" spans="1:13">
      <c r="A682" t="s">
        <v>274</v>
      </c>
      <c r="B682" t="str">
        <f t="shared" si="40"/>
        <v>Senior</v>
      </c>
      <c r="C682" t="str">
        <f t="shared" si="41"/>
        <v>ML Engineer</v>
      </c>
      <c r="D682">
        <v>2.6</v>
      </c>
      <c r="E682" t="s">
        <v>133</v>
      </c>
      <c r="F682" t="str">
        <f t="shared" si="42"/>
        <v>Pittsburgh</v>
      </c>
      <c r="G682" t="s">
        <v>9</v>
      </c>
      <c r="H682" t="s">
        <v>208</v>
      </c>
      <c r="I682">
        <v>81</v>
      </c>
      <c r="J682">
        <v>167</v>
      </c>
      <c r="K682">
        <v>124</v>
      </c>
      <c r="L682" t="str">
        <f t="shared" si="43"/>
        <v>$100–125K</v>
      </c>
      <c r="M682">
        <v>37</v>
      </c>
    </row>
    <row r="683" spans="1:13">
      <c r="A683" t="s">
        <v>463</v>
      </c>
      <c r="B683" t="str">
        <f t="shared" si="40"/>
        <v>Senior</v>
      </c>
      <c r="C683" t="str">
        <f t="shared" si="41"/>
        <v>Data Scientist</v>
      </c>
      <c r="D683">
        <v>3.2</v>
      </c>
      <c r="E683" t="s">
        <v>34</v>
      </c>
      <c r="F683" t="str">
        <f t="shared" si="42"/>
        <v>San Francisco</v>
      </c>
      <c r="G683" t="s">
        <v>9</v>
      </c>
      <c r="H683" t="s">
        <v>52</v>
      </c>
      <c r="I683">
        <v>150</v>
      </c>
      <c r="J683">
        <v>238</v>
      </c>
      <c r="K683">
        <v>194</v>
      </c>
      <c r="L683" t="str">
        <f t="shared" si="43"/>
        <v>&gt;$150K</v>
      </c>
      <c r="M683">
        <v>15</v>
      </c>
    </row>
    <row r="684" spans="1:13">
      <c r="A684" t="s">
        <v>368</v>
      </c>
      <c r="B684" t="str">
        <f t="shared" si="40"/>
        <v>Mid-Level</v>
      </c>
      <c r="C684" t="str">
        <f t="shared" si="41"/>
        <v>Data Scientist</v>
      </c>
      <c r="D684">
        <v>3.7</v>
      </c>
      <c r="E684" t="s">
        <v>369</v>
      </c>
      <c r="F684" t="str">
        <f t="shared" si="42"/>
        <v>Vail</v>
      </c>
      <c r="G684" t="s">
        <v>9</v>
      </c>
      <c r="H684" t="s">
        <v>15</v>
      </c>
      <c r="I684">
        <v>49</v>
      </c>
      <c r="J684">
        <v>81</v>
      </c>
      <c r="K684">
        <v>65</v>
      </c>
      <c r="L684" t="str">
        <f t="shared" si="43"/>
        <v>$50–75K</v>
      </c>
      <c r="M684">
        <v>55</v>
      </c>
    </row>
    <row r="685" spans="1:13">
      <c r="A685" t="s">
        <v>469</v>
      </c>
      <c r="B685" t="str">
        <f t="shared" si="40"/>
        <v>Mid-Level</v>
      </c>
      <c r="C685" t="str">
        <f t="shared" si="41"/>
        <v>Data Analyst</v>
      </c>
      <c r="D685">
        <v>4.2</v>
      </c>
      <c r="E685" t="s">
        <v>204</v>
      </c>
      <c r="F685" t="str">
        <f t="shared" si="42"/>
        <v>Salt Lake City</v>
      </c>
      <c r="G685" t="s">
        <v>14</v>
      </c>
      <c r="H685" t="s">
        <v>205</v>
      </c>
      <c r="I685">
        <v>35</v>
      </c>
      <c r="J685">
        <v>65</v>
      </c>
      <c r="K685">
        <v>50</v>
      </c>
      <c r="L685" t="str">
        <f t="shared" si="43"/>
        <v>$50–75K</v>
      </c>
      <c r="M685">
        <v>-1</v>
      </c>
    </row>
    <row r="686" spans="1:13">
      <c r="A686" t="s">
        <v>7</v>
      </c>
      <c r="B686" t="str">
        <f t="shared" si="40"/>
        <v>Mid-Level</v>
      </c>
      <c r="C686" t="str">
        <f t="shared" si="41"/>
        <v>Data Scientist</v>
      </c>
      <c r="D686">
        <v>3.5</v>
      </c>
      <c r="E686" t="s">
        <v>21</v>
      </c>
      <c r="F686" t="str">
        <f t="shared" si="42"/>
        <v>New York</v>
      </c>
      <c r="G686" t="s">
        <v>25</v>
      </c>
      <c r="H686" t="s">
        <v>23</v>
      </c>
      <c r="I686">
        <v>77</v>
      </c>
      <c r="J686">
        <v>132</v>
      </c>
      <c r="K686">
        <v>104.5</v>
      </c>
      <c r="L686" t="str">
        <f t="shared" si="43"/>
        <v>$100–125K</v>
      </c>
      <c r="M686">
        <v>16</v>
      </c>
    </row>
    <row r="687" spans="1:13">
      <c r="A687" t="s">
        <v>7</v>
      </c>
      <c r="B687" t="str">
        <f t="shared" si="40"/>
        <v>Mid-Level</v>
      </c>
      <c r="C687" t="str">
        <f t="shared" si="41"/>
        <v>Data Scientist</v>
      </c>
      <c r="D687">
        <v>4.3</v>
      </c>
      <c r="E687" t="s">
        <v>170</v>
      </c>
      <c r="F687" t="str">
        <f t="shared" si="42"/>
        <v>Phoenix</v>
      </c>
      <c r="G687" t="s">
        <v>25</v>
      </c>
      <c r="H687" t="s">
        <v>74</v>
      </c>
      <c r="I687">
        <v>51</v>
      </c>
      <c r="J687">
        <v>88</v>
      </c>
      <c r="K687">
        <v>69.5</v>
      </c>
      <c r="L687" t="str">
        <f t="shared" si="43"/>
        <v>$50–75K</v>
      </c>
      <c r="M687">
        <v>52</v>
      </c>
    </row>
    <row r="688" spans="1:13">
      <c r="A688" t="s">
        <v>7</v>
      </c>
      <c r="B688" t="str">
        <f t="shared" si="40"/>
        <v>Mid-Level</v>
      </c>
      <c r="C688" t="str">
        <f t="shared" si="41"/>
        <v>Data Scientist</v>
      </c>
      <c r="D688">
        <v>2.6</v>
      </c>
      <c r="E688" t="s">
        <v>462</v>
      </c>
      <c r="F688" t="str">
        <f t="shared" si="42"/>
        <v>Irvine</v>
      </c>
      <c r="G688" t="s">
        <v>14</v>
      </c>
      <c r="H688" t="s">
        <v>208</v>
      </c>
      <c r="I688">
        <v>101</v>
      </c>
      <c r="J688">
        <v>141</v>
      </c>
      <c r="K688">
        <v>121</v>
      </c>
      <c r="L688" t="str">
        <f t="shared" si="43"/>
        <v>$100–125K</v>
      </c>
      <c r="M688">
        <v>24</v>
      </c>
    </row>
    <row r="689" spans="1:13">
      <c r="A689" t="s">
        <v>468</v>
      </c>
      <c r="B689" t="str">
        <f t="shared" si="40"/>
        <v>Mid-Level</v>
      </c>
      <c r="C689" t="str">
        <f t="shared" si="41"/>
        <v>Data Engineer</v>
      </c>
      <c r="D689">
        <v>4.2</v>
      </c>
      <c r="E689" t="s">
        <v>164</v>
      </c>
      <c r="F689" t="str">
        <f t="shared" si="42"/>
        <v>Charlotte</v>
      </c>
      <c r="G689" t="s">
        <v>25</v>
      </c>
      <c r="H689" t="s">
        <v>74</v>
      </c>
      <c r="I689">
        <v>59</v>
      </c>
      <c r="J689">
        <v>112</v>
      </c>
      <c r="K689">
        <v>85.5</v>
      </c>
      <c r="L689" t="str">
        <f t="shared" si="43"/>
        <v>$75–100K</v>
      </c>
      <c r="M689">
        <v>13</v>
      </c>
    </row>
    <row r="690" spans="1:13">
      <c r="A690" t="s">
        <v>80</v>
      </c>
      <c r="B690" t="str">
        <f t="shared" si="40"/>
        <v>Mid-Level</v>
      </c>
      <c r="C690" t="str">
        <f t="shared" si="41"/>
        <v>Data Engineer</v>
      </c>
      <c r="D690">
        <v>3.1</v>
      </c>
      <c r="E690" t="s">
        <v>470</v>
      </c>
      <c r="F690" t="str">
        <f t="shared" si="42"/>
        <v>Aliso Viejo</v>
      </c>
      <c r="G690" t="s">
        <v>19</v>
      </c>
      <c r="H690" t="s">
        <v>291</v>
      </c>
      <c r="I690">
        <v>79</v>
      </c>
      <c r="J690">
        <v>147</v>
      </c>
      <c r="K690">
        <v>113</v>
      </c>
      <c r="L690" t="str">
        <f t="shared" si="43"/>
        <v>$100–125K</v>
      </c>
      <c r="M690">
        <v>24</v>
      </c>
    </row>
    <row r="691" spans="1:13">
      <c r="A691" t="s">
        <v>530</v>
      </c>
      <c r="B691" t="str">
        <f t="shared" si="40"/>
        <v>Mid-Level</v>
      </c>
      <c r="C691" t="str">
        <f t="shared" si="41"/>
        <v>Data Scientist</v>
      </c>
      <c r="D691">
        <v>3.8</v>
      </c>
      <c r="E691" t="s">
        <v>34</v>
      </c>
      <c r="F691" t="str">
        <f t="shared" si="42"/>
        <v>San Francisco</v>
      </c>
      <c r="G691" t="s">
        <v>25</v>
      </c>
      <c r="H691" t="s">
        <v>86</v>
      </c>
      <c r="I691">
        <v>79</v>
      </c>
      <c r="J691">
        <v>127</v>
      </c>
      <c r="K691">
        <v>103</v>
      </c>
      <c r="L691" t="str">
        <f t="shared" si="43"/>
        <v>$100–125K</v>
      </c>
      <c r="M691">
        <v>16</v>
      </c>
    </row>
    <row r="692" spans="1:13">
      <c r="A692" t="s">
        <v>471</v>
      </c>
      <c r="B692" t="str">
        <f t="shared" si="40"/>
        <v>Mid-Level</v>
      </c>
      <c r="C692" t="str">
        <f t="shared" si="41"/>
        <v>Data Scientist</v>
      </c>
      <c r="D692">
        <v>3.9</v>
      </c>
      <c r="E692" t="s">
        <v>44</v>
      </c>
      <c r="F692" t="str">
        <f t="shared" si="42"/>
        <v>Cambridge</v>
      </c>
      <c r="G692" t="s">
        <v>14</v>
      </c>
      <c r="H692" t="s">
        <v>45</v>
      </c>
      <c r="I692">
        <v>62</v>
      </c>
      <c r="J692">
        <v>119</v>
      </c>
      <c r="K692">
        <v>90.5</v>
      </c>
      <c r="L692" t="str">
        <f t="shared" si="43"/>
        <v>$75–100K</v>
      </c>
      <c r="M692">
        <v>191</v>
      </c>
    </row>
    <row r="693" spans="1:13">
      <c r="A693" t="s">
        <v>78</v>
      </c>
      <c r="B693" t="str">
        <f t="shared" si="40"/>
        <v>Senior</v>
      </c>
      <c r="C693" t="str">
        <f t="shared" si="41"/>
        <v>Data Scientist</v>
      </c>
      <c r="D693">
        <v>4.3</v>
      </c>
      <c r="E693" t="s">
        <v>179</v>
      </c>
      <c r="F693" t="str">
        <f t="shared" si="42"/>
        <v>Los Angeles</v>
      </c>
      <c r="G693" t="s">
        <v>22</v>
      </c>
      <c r="H693" t="s">
        <v>76</v>
      </c>
      <c r="I693">
        <v>119</v>
      </c>
      <c r="J693">
        <v>187</v>
      </c>
      <c r="K693">
        <v>153</v>
      </c>
      <c r="L693" t="str">
        <f t="shared" si="43"/>
        <v>&gt;$150K</v>
      </c>
      <c r="M693">
        <v>13</v>
      </c>
    </row>
    <row r="694" spans="1:13">
      <c r="A694" t="s">
        <v>531</v>
      </c>
      <c r="B694" t="str">
        <f t="shared" si="40"/>
        <v>Junior</v>
      </c>
      <c r="C694" t="str">
        <f t="shared" si="41"/>
        <v>Data Scientist</v>
      </c>
      <c r="D694">
        <v>3.2</v>
      </c>
      <c r="E694" t="s">
        <v>154</v>
      </c>
      <c r="F694" t="str">
        <f t="shared" si="42"/>
        <v>McLean</v>
      </c>
      <c r="G694" t="s">
        <v>38</v>
      </c>
      <c r="H694" t="s">
        <v>156</v>
      </c>
      <c r="I694">
        <v>81</v>
      </c>
      <c r="J694">
        <v>132</v>
      </c>
      <c r="K694">
        <v>106.5</v>
      </c>
      <c r="L694" t="str">
        <f t="shared" si="43"/>
        <v>$100–125K</v>
      </c>
      <c r="M694">
        <v>63</v>
      </c>
    </row>
    <row r="695" spans="1:13">
      <c r="A695" t="s">
        <v>78</v>
      </c>
      <c r="B695" t="str">
        <f t="shared" si="40"/>
        <v>Senior</v>
      </c>
      <c r="C695" t="str">
        <f t="shared" si="41"/>
        <v>Data Scientist</v>
      </c>
      <c r="D695">
        <v>5</v>
      </c>
      <c r="E695" t="s">
        <v>532</v>
      </c>
      <c r="F695" t="str">
        <f t="shared" si="42"/>
        <v>Ann Arbor</v>
      </c>
      <c r="G695" t="s">
        <v>22</v>
      </c>
      <c r="H695" t="s">
        <v>76</v>
      </c>
      <c r="I695">
        <v>120</v>
      </c>
      <c r="J695">
        <v>140</v>
      </c>
      <c r="K695">
        <v>130</v>
      </c>
      <c r="L695" t="str">
        <f t="shared" si="43"/>
        <v>$125–150K</v>
      </c>
      <c r="M695">
        <v>10</v>
      </c>
    </row>
    <row r="696" spans="1:13">
      <c r="A696" t="s">
        <v>472</v>
      </c>
      <c r="B696" t="str">
        <f t="shared" si="40"/>
        <v>Mid-Level</v>
      </c>
      <c r="C696" t="str">
        <f t="shared" si="41"/>
        <v>Data Analyst</v>
      </c>
      <c r="D696">
        <v>3.3</v>
      </c>
      <c r="E696" t="s">
        <v>473</v>
      </c>
      <c r="F696" t="str">
        <f t="shared" si="42"/>
        <v>Dublin</v>
      </c>
      <c r="G696" t="s">
        <v>19</v>
      </c>
      <c r="H696" t="s">
        <v>30</v>
      </c>
      <c r="I696">
        <v>90</v>
      </c>
      <c r="J696">
        <v>157</v>
      </c>
      <c r="K696">
        <v>123.5</v>
      </c>
      <c r="L696" t="str">
        <f t="shared" si="43"/>
        <v>$100–125K</v>
      </c>
      <c r="M696">
        <v>33</v>
      </c>
    </row>
    <row r="697" spans="1:13">
      <c r="A697" t="s">
        <v>533</v>
      </c>
      <c r="B697" t="str">
        <f t="shared" si="40"/>
        <v>Mid-Level</v>
      </c>
      <c r="C697" t="str">
        <f t="shared" si="41"/>
        <v>Data Scientist</v>
      </c>
      <c r="D697">
        <v>4.3</v>
      </c>
      <c r="E697" t="s">
        <v>21</v>
      </c>
      <c r="F697" t="str">
        <f t="shared" si="42"/>
        <v>New York</v>
      </c>
      <c r="G697" t="s">
        <v>19</v>
      </c>
      <c r="H697" t="s">
        <v>52</v>
      </c>
      <c r="I697">
        <v>63</v>
      </c>
      <c r="J697">
        <v>110</v>
      </c>
      <c r="K697">
        <v>86.5</v>
      </c>
      <c r="L697" t="str">
        <f t="shared" si="43"/>
        <v>$75–100K</v>
      </c>
      <c r="M697">
        <v>22</v>
      </c>
    </row>
    <row r="698" spans="1:13">
      <c r="A698" t="s">
        <v>275</v>
      </c>
      <c r="B698" t="str">
        <f t="shared" si="40"/>
        <v>Management</v>
      </c>
      <c r="C698" t="str">
        <f t="shared" si="41"/>
        <v>DS Manager</v>
      </c>
      <c r="D698">
        <v>3.5</v>
      </c>
      <c r="E698" t="s">
        <v>276</v>
      </c>
      <c r="F698" t="str">
        <f t="shared" si="42"/>
        <v>Scotts Valley</v>
      </c>
      <c r="G698" t="s">
        <v>9</v>
      </c>
      <c r="H698" t="s">
        <v>15</v>
      </c>
      <c r="I698">
        <v>42</v>
      </c>
      <c r="J698">
        <v>86</v>
      </c>
      <c r="K698">
        <v>64</v>
      </c>
      <c r="L698" t="str">
        <f t="shared" si="43"/>
        <v>$50–75K</v>
      </c>
      <c r="M698">
        <v>25</v>
      </c>
    </row>
    <row r="699" spans="1:13">
      <c r="A699" t="s">
        <v>474</v>
      </c>
      <c r="B699" t="str">
        <f t="shared" si="40"/>
        <v>Senior</v>
      </c>
      <c r="C699" t="str">
        <f t="shared" si="41"/>
        <v>Data Analyst</v>
      </c>
      <c r="D699">
        <v>3.9</v>
      </c>
      <c r="E699" t="s">
        <v>21</v>
      </c>
      <c r="F699" t="str">
        <f t="shared" si="42"/>
        <v>New York</v>
      </c>
      <c r="G699" t="s">
        <v>25</v>
      </c>
      <c r="H699" t="s">
        <v>33</v>
      </c>
      <c r="I699">
        <v>32</v>
      </c>
      <c r="J699">
        <v>62</v>
      </c>
      <c r="K699">
        <v>47</v>
      </c>
      <c r="L699" t="str">
        <f t="shared" si="43"/>
        <v>&lt;$50K</v>
      </c>
      <c r="M699">
        <v>11</v>
      </c>
    </row>
    <row r="700" spans="1:13">
      <c r="A700" t="s">
        <v>475</v>
      </c>
      <c r="B700" t="str">
        <f t="shared" si="40"/>
        <v>Mid-Level</v>
      </c>
      <c r="C700" t="str">
        <f t="shared" si="41"/>
        <v>Data Scientist</v>
      </c>
      <c r="D700">
        <v>4</v>
      </c>
      <c r="E700" t="s">
        <v>28</v>
      </c>
      <c r="F700" t="str">
        <f t="shared" si="42"/>
        <v>San Jose</v>
      </c>
      <c r="G700" t="s">
        <v>14</v>
      </c>
      <c r="H700" t="s">
        <v>76</v>
      </c>
      <c r="I700">
        <v>116</v>
      </c>
      <c r="J700">
        <v>208</v>
      </c>
      <c r="K700">
        <v>162</v>
      </c>
      <c r="L700" t="str">
        <f t="shared" si="43"/>
        <v>&gt;$150K</v>
      </c>
      <c r="M700">
        <v>39</v>
      </c>
    </row>
    <row r="701" spans="1:13">
      <c r="A701" t="s">
        <v>460</v>
      </c>
      <c r="B701" t="str">
        <f t="shared" si="40"/>
        <v>Senior</v>
      </c>
      <c r="C701" t="str">
        <f t="shared" si="41"/>
        <v>Data Scientist</v>
      </c>
      <c r="D701">
        <v>3.9</v>
      </c>
      <c r="E701" t="s">
        <v>461</v>
      </c>
      <c r="F701" t="str">
        <f t="shared" si="42"/>
        <v>Gaithersburg</v>
      </c>
      <c r="G701" t="s">
        <v>14</v>
      </c>
      <c r="H701" t="s">
        <v>45</v>
      </c>
      <c r="I701">
        <v>107</v>
      </c>
      <c r="J701">
        <v>173</v>
      </c>
      <c r="K701">
        <v>140</v>
      </c>
      <c r="L701" t="str">
        <f t="shared" si="43"/>
        <v>$125–150K</v>
      </c>
      <c r="M701">
        <v>108</v>
      </c>
    </row>
    <row r="702" spans="1:13">
      <c r="A702" t="s">
        <v>7</v>
      </c>
      <c r="B702" t="str">
        <f t="shared" si="40"/>
        <v>Mid-Level</v>
      </c>
      <c r="C702" t="str">
        <f t="shared" si="41"/>
        <v>Data Scientist</v>
      </c>
      <c r="D702">
        <v>3.4</v>
      </c>
      <c r="E702" t="s">
        <v>534</v>
      </c>
      <c r="F702" t="str">
        <f t="shared" si="42"/>
        <v>Olympia</v>
      </c>
      <c r="G702" t="s">
        <v>22</v>
      </c>
      <c r="H702" t="s">
        <v>74</v>
      </c>
      <c r="I702">
        <v>65</v>
      </c>
      <c r="J702">
        <v>113</v>
      </c>
      <c r="K702">
        <v>89</v>
      </c>
      <c r="L702" t="str">
        <f t="shared" si="43"/>
        <v>$75–100K</v>
      </c>
      <c r="M702">
        <v>-1</v>
      </c>
    </row>
    <row r="703" spans="1:13">
      <c r="A703" t="s">
        <v>277</v>
      </c>
      <c r="B703" t="str">
        <f t="shared" si="40"/>
        <v>Senior</v>
      </c>
      <c r="C703" t="str">
        <f t="shared" si="41"/>
        <v>Data Engineer</v>
      </c>
      <c r="D703">
        <v>3</v>
      </c>
      <c r="E703" t="s">
        <v>278</v>
      </c>
      <c r="F703" t="str">
        <f t="shared" si="42"/>
        <v>Knoxville</v>
      </c>
      <c r="G703" t="s">
        <v>14</v>
      </c>
      <c r="H703" t="s">
        <v>279</v>
      </c>
      <c r="I703">
        <v>69</v>
      </c>
      <c r="J703">
        <v>127</v>
      </c>
      <c r="K703">
        <v>98</v>
      </c>
      <c r="L703" t="str">
        <f t="shared" si="43"/>
        <v>$75–100K</v>
      </c>
      <c r="M703">
        <v>63</v>
      </c>
    </row>
    <row r="704" spans="1:13">
      <c r="A704" t="s">
        <v>370</v>
      </c>
      <c r="B704" t="str">
        <f t="shared" si="40"/>
        <v>Senior</v>
      </c>
      <c r="C704" t="str">
        <f t="shared" si="41"/>
        <v>Data Scientist</v>
      </c>
      <c r="D704">
        <v>3.9</v>
      </c>
      <c r="E704" t="s">
        <v>21</v>
      </c>
      <c r="F704" t="str">
        <f t="shared" si="42"/>
        <v>New York</v>
      </c>
      <c r="G704" t="s">
        <v>14</v>
      </c>
      <c r="H704" t="s">
        <v>45</v>
      </c>
      <c r="I704">
        <v>102</v>
      </c>
      <c r="J704">
        <v>172</v>
      </c>
      <c r="K704">
        <v>137</v>
      </c>
      <c r="L704" t="str">
        <f t="shared" si="43"/>
        <v>$125–150K</v>
      </c>
      <c r="M704">
        <v>108</v>
      </c>
    </row>
    <row r="705" spans="1:13">
      <c r="A705" t="s">
        <v>80</v>
      </c>
      <c r="B705" t="str">
        <f t="shared" si="40"/>
        <v>Mid-Level</v>
      </c>
      <c r="C705" t="str">
        <f t="shared" si="41"/>
        <v>Data Engineer</v>
      </c>
      <c r="D705">
        <v>4</v>
      </c>
      <c r="E705" t="s">
        <v>54</v>
      </c>
      <c r="F705" t="str">
        <f t="shared" si="42"/>
        <v>Denver</v>
      </c>
      <c r="G705" t="s">
        <v>9</v>
      </c>
      <c r="H705" t="s">
        <v>55</v>
      </c>
      <c r="I705">
        <v>74</v>
      </c>
      <c r="J705">
        <v>124</v>
      </c>
      <c r="K705">
        <v>99</v>
      </c>
      <c r="L705" t="str">
        <f t="shared" si="43"/>
        <v>$75–100K</v>
      </c>
      <c r="M705">
        <v>106</v>
      </c>
    </row>
    <row r="706" spans="1:13">
      <c r="A706" t="s">
        <v>282</v>
      </c>
      <c r="B706" t="str">
        <f t="shared" si="40"/>
        <v>Mid-Level</v>
      </c>
      <c r="C706" t="str">
        <f t="shared" si="41"/>
        <v>Data Scientist</v>
      </c>
      <c r="D706">
        <v>3.3</v>
      </c>
      <c r="E706" t="s">
        <v>158</v>
      </c>
      <c r="F706" t="str">
        <f t="shared" si="42"/>
        <v>Milwaukee</v>
      </c>
      <c r="G706" t="s">
        <v>9</v>
      </c>
      <c r="H706" t="s">
        <v>273</v>
      </c>
      <c r="I706">
        <v>40</v>
      </c>
      <c r="J706">
        <v>68</v>
      </c>
      <c r="K706">
        <v>54</v>
      </c>
      <c r="L706" t="str">
        <f t="shared" si="43"/>
        <v>$50–75K</v>
      </c>
      <c r="M706">
        <v>57</v>
      </c>
    </row>
    <row r="707" spans="1:13">
      <c r="A707" t="s">
        <v>180</v>
      </c>
      <c r="B707" t="str">
        <f t="shared" ref="B707:B743" si="44">IF(OR(ISNUMBER(SEARCH("Senior",A707)),ISNUMBER(SEARCH("Sr",A707)),ISNUMBER(SEARCH("Lead",A707)),ISNUMBER(SEARCH("Principal",A707))),"Senior",IF(OR(ISNUMBER(SEARCH("Junior",A707)),ISNUMBER(SEARCH("Jr",A707)),ISNUMBER(SEARCH("Entry",A707)),ISNUMBER(SEARCH("Associate",A707))),"Junior",IF(OR(ISNUMBER(SEARCH("Manager",A707)),ISNUMBER(SEARCH("Director",A707)),ISNUMBER(SEARCH("Head",A707)),ISNUMBER(SEARCH("VP",A707))),"Management","Mid-Level")))</f>
        <v>Senior</v>
      </c>
      <c r="C707" t="str">
        <f t="shared" ref="C707:C743" si="45">IF(ISNUMBER(SEARCH("Machine Learn",A707)),"ML Engineer",IF(ISNUMBER(SEARCH("Data Engineer",A707)),"Data Engineer",IF(ISNUMBER(SEARCH("Data Analyst",A707)),"Data Analyst",IF(ISNUMBER(SEARCH("Business Analyst",A707)),"Business Analyst",IF(ISNUMBER(SEARCH("Research",A707)),"Research Scientist",IF(ISNUMBER(SEARCH("Manager",A707)),"DS Manager",IF(ISNUMBER(SEARCH("Director",A707)),"Director/VP","Data Scientist")))))))</f>
        <v>Data Engineer</v>
      </c>
      <c r="D707">
        <v>3.2</v>
      </c>
      <c r="E707" t="s">
        <v>405</v>
      </c>
      <c r="F707" t="str">
        <f t="shared" ref="F707:F743" si="46">IFERROR(LEFT(E707, FIND(",", E707)-1), E707)</f>
        <v>Franklin</v>
      </c>
      <c r="G707" t="s">
        <v>19</v>
      </c>
      <c r="H707" t="s">
        <v>15</v>
      </c>
      <c r="I707">
        <v>76</v>
      </c>
      <c r="J707">
        <v>142</v>
      </c>
      <c r="K707">
        <v>109</v>
      </c>
      <c r="L707" t="str">
        <f t="shared" ref="L707:L743" si="47">IF(K707&lt;50,"&lt;$50K",IF(K707&lt;75,"$50–75K",IF(K707&lt;100,"$75–100K",IF(K707&lt;125,"$100–125K",IF(K707&lt;150,"$125–150K","&gt;$150K")))))</f>
        <v>$100–125K</v>
      </c>
      <c r="M707">
        <v>17</v>
      </c>
    </row>
    <row r="708" spans="1:13">
      <c r="A708" t="s">
        <v>80</v>
      </c>
      <c r="B708" t="str">
        <f t="shared" si="44"/>
        <v>Mid-Level</v>
      </c>
      <c r="C708" t="str">
        <f t="shared" si="45"/>
        <v>Data Engineer</v>
      </c>
      <c r="D708">
        <v>3.4</v>
      </c>
      <c r="E708" t="s">
        <v>176</v>
      </c>
      <c r="F708" t="str">
        <f t="shared" si="46"/>
        <v>Rockville</v>
      </c>
      <c r="G708" t="s">
        <v>25</v>
      </c>
      <c r="H708" t="s">
        <v>74</v>
      </c>
      <c r="I708">
        <v>76</v>
      </c>
      <c r="J708">
        <v>142</v>
      </c>
      <c r="K708">
        <v>109</v>
      </c>
      <c r="L708" t="str">
        <f t="shared" si="47"/>
        <v>$100–125K</v>
      </c>
      <c r="M708">
        <v>22</v>
      </c>
    </row>
    <row r="709" spans="1:13">
      <c r="A709" t="s">
        <v>78</v>
      </c>
      <c r="B709" t="str">
        <f t="shared" si="44"/>
        <v>Senior</v>
      </c>
      <c r="C709" t="str">
        <f t="shared" si="45"/>
        <v>Data Scientist</v>
      </c>
      <c r="D709">
        <v>4.4000000000000004</v>
      </c>
      <c r="E709" t="s">
        <v>371</v>
      </c>
      <c r="F709" t="str">
        <f t="shared" si="46"/>
        <v>Natick</v>
      </c>
      <c r="G709" t="s">
        <v>19</v>
      </c>
      <c r="H709" t="s">
        <v>76</v>
      </c>
      <c r="I709">
        <v>108</v>
      </c>
      <c r="J709">
        <v>171</v>
      </c>
      <c r="K709">
        <v>139.5</v>
      </c>
      <c r="L709" t="str">
        <f t="shared" si="47"/>
        <v>$125–150K</v>
      </c>
      <c r="M709">
        <v>37</v>
      </c>
    </row>
    <row r="710" spans="1:13">
      <c r="A710" t="s">
        <v>372</v>
      </c>
      <c r="B710" t="str">
        <f t="shared" si="44"/>
        <v>Management</v>
      </c>
      <c r="C710" t="str">
        <f t="shared" si="45"/>
        <v>Director/VP</v>
      </c>
      <c r="D710">
        <v>3.3</v>
      </c>
      <c r="E710" t="s">
        <v>59</v>
      </c>
      <c r="F710" t="str">
        <f t="shared" si="46"/>
        <v>Chicago</v>
      </c>
      <c r="G710" t="s">
        <v>14</v>
      </c>
      <c r="H710" t="s">
        <v>55</v>
      </c>
      <c r="I710">
        <v>202</v>
      </c>
      <c r="J710">
        <v>306</v>
      </c>
      <c r="K710">
        <v>254</v>
      </c>
      <c r="L710" t="str">
        <f t="shared" si="47"/>
        <v>&gt;$150K</v>
      </c>
      <c r="M710">
        <v>109</v>
      </c>
    </row>
    <row r="711" spans="1:13">
      <c r="A711" t="s">
        <v>196</v>
      </c>
      <c r="B711" t="str">
        <f t="shared" si="44"/>
        <v>Mid-Level</v>
      </c>
      <c r="C711" t="str">
        <f t="shared" si="45"/>
        <v>ML Engineer</v>
      </c>
      <c r="D711">
        <v>3.2</v>
      </c>
      <c r="E711" t="s">
        <v>21</v>
      </c>
      <c r="F711" t="str">
        <f t="shared" si="46"/>
        <v>New York</v>
      </c>
      <c r="G711" t="s">
        <v>19</v>
      </c>
      <c r="H711" t="s">
        <v>76</v>
      </c>
      <c r="I711">
        <v>91</v>
      </c>
      <c r="J711">
        <v>159</v>
      </c>
      <c r="K711">
        <v>125</v>
      </c>
      <c r="L711" t="str">
        <f t="shared" si="47"/>
        <v>$125–150K</v>
      </c>
      <c r="M711">
        <v>46</v>
      </c>
    </row>
    <row r="712" spans="1:13">
      <c r="A712" t="s">
        <v>477</v>
      </c>
      <c r="B712" t="str">
        <f t="shared" si="44"/>
        <v>Senior</v>
      </c>
      <c r="C712" t="str">
        <f t="shared" si="45"/>
        <v>Data Scientist</v>
      </c>
      <c r="D712">
        <v>3.8</v>
      </c>
      <c r="E712" t="s">
        <v>44</v>
      </c>
      <c r="F712" t="str">
        <f t="shared" si="46"/>
        <v>Cambridge</v>
      </c>
      <c r="G712" t="s">
        <v>14</v>
      </c>
      <c r="H712" t="s">
        <v>45</v>
      </c>
      <c r="I712">
        <v>80</v>
      </c>
      <c r="J712">
        <v>133</v>
      </c>
      <c r="K712">
        <v>106.5</v>
      </c>
      <c r="L712" t="str">
        <f t="shared" si="47"/>
        <v>$100–125K</v>
      </c>
      <c r="M712">
        <v>25</v>
      </c>
    </row>
    <row r="713" spans="1:13">
      <c r="A713" t="s">
        <v>280</v>
      </c>
      <c r="B713" t="str">
        <f t="shared" si="44"/>
        <v>Mid-Level</v>
      </c>
      <c r="C713" t="str">
        <f t="shared" si="45"/>
        <v>Data Scientist</v>
      </c>
      <c r="D713">
        <v>3.6</v>
      </c>
      <c r="E713" t="s">
        <v>281</v>
      </c>
      <c r="F713" t="str">
        <f t="shared" si="46"/>
        <v>Millville</v>
      </c>
      <c r="G713" t="s">
        <v>19</v>
      </c>
      <c r="H713" t="s">
        <v>15</v>
      </c>
      <c r="I713">
        <v>43</v>
      </c>
      <c r="J713">
        <v>70</v>
      </c>
      <c r="K713">
        <v>56.5</v>
      </c>
      <c r="L713" t="str">
        <f t="shared" si="47"/>
        <v>$50–75K</v>
      </c>
      <c r="M713">
        <v>86</v>
      </c>
    </row>
    <row r="714" spans="1:13">
      <c r="A714" t="s">
        <v>373</v>
      </c>
      <c r="B714" t="str">
        <f t="shared" si="44"/>
        <v>Mid-Level</v>
      </c>
      <c r="C714" t="str">
        <f t="shared" si="45"/>
        <v>Data Scientist</v>
      </c>
      <c r="D714">
        <v>2.9</v>
      </c>
      <c r="E714" t="s">
        <v>219</v>
      </c>
      <c r="F714" t="str">
        <f t="shared" si="46"/>
        <v>South San Francisco</v>
      </c>
      <c r="G714" t="s">
        <v>25</v>
      </c>
      <c r="H714" t="s">
        <v>45</v>
      </c>
      <c r="I714">
        <v>49</v>
      </c>
      <c r="J714">
        <v>97</v>
      </c>
      <c r="K714">
        <v>73</v>
      </c>
      <c r="L714" t="str">
        <f t="shared" si="47"/>
        <v>$50–75K</v>
      </c>
      <c r="M714">
        <v>9</v>
      </c>
    </row>
    <row r="715" spans="1:13">
      <c r="A715" t="s">
        <v>283</v>
      </c>
      <c r="B715" t="str">
        <f t="shared" si="44"/>
        <v>Mid-Level</v>
      </c>
      <c r="C715" t="str">
        <f t="shared" si="45"/>
        <v>Data Scientist</v>
      </c>
      <c r="D715">
        <v>2.7</v>
      </c>
      <c r="E715" t="s">
        <v>176</v>
      </c>
      <c r="F715" t="str">
        <f t="shared" si="46"/>
        <v>Rockville</v>
      </c>
      <c r="G715" t="s">
        <v>25</v>
      </c>
      <c r="H715" t="s">
        <v>45</v>
      </c>
      <c r="I715">
        <v>49</v>
      </c>
      <c r="J715">
        <v>113</v>
      </c>
      <c r="K715">
        <v>81</v>
      </c>
      <c r="L715" t="str">
        <f t="shared" si="47"/>
        <v>$75–100K</v>
      </c>
      <c r="M715">
        <v>60</v>
      </c>
    </row>
    <row r="716" spans="1:13">
      <c r="A716" t="s">
        <v>7</v>
      </c>
      <c r="B716" t="str">
        <f t="shared" si="44"/>
        <v>Mid-Level</v>
      </c>
      <c r="C716" t="str">
        <f t="shared" si="45"/>
        <v>Data Scientist</v>
      </c>
      <c r="D716">
        <v>3.2</v>
      </c>
      <c r="E716" t="s">
        <v>120</v>
      </c>
      <c r="F716" t="str">
        <f t="shared" si="46"/>
        <v>Philadelphia</v>
      </c>
      <c r="G716" s="1">
        <v>18264</v>
      </c>
      <c r="H716" t="s">
        <v>121</v>
      </c>
      <c r="I716">
        <v>96</v>
      </c>
      <c r="J716">
        <v>161</v>
      </c>
      <c r="K716">
        <v>128.5</v>
      </c>
      <c r="L716" t="str">
        <f t="shared" si="47"/>
        <v>$125–150K</v>
      </c>
      <c r="M716">
        <v>-1</v>
      </c>
    </row>
    <row r="717" spans="1:13">
      <c r="A717" t="s">
        <v>374</v>
      </c>
      <c r="B717" t="str">
        <f t="shared" si="44"/>
        <v>Mid-Level</v>
      </c>
      <c r="C717" t="str">
        <f t="shared" si="45"/>
        <v>Data Scientist</v>
      </c>
      <c r="D717">
        <v>3.1</v>
      </c>
      <c r="E717" t="s">
        <v>356</v>
      </c>
      <c r="F717" t="str">
        <f t="shared" si="46"/>
        <v>Winston-Salem</v>
      </c>
      <c r="G717" t="s">
        <v>38</v>
      </c>
      <c r="H717" t="s">
        <v>86</v>
      </c>
      <c r="I717">
        <v>65</v>
      </c>
      <c r="J717">
        <v>134</v>
      </c>
      <c r="K717">
        <v>99.5</v>
      </c>
      <c r="L717" t="str">
        <f t="shared" si="47"/>
        <v>$75–100K</v>
      </c>
      <c r="M717">
        <v>146</v>
      </c>
    </row>
    <row r="718" spans="1:13">
      <c r="A718" t="s">
        <v>535</v>
      </c>
      <c r="B718" t="str">
        <f t="shared" si="44"/>
        <v>Senior</v>
      </c>
      <c r="C718" t="str">
        <f t="shared" si="45"/>
        <v>Data Scientist</v>
      </c>
      <c r="D718">
        <v>4</v>
      </c>
      <c r="E718" t="s">
        <v>219</v>
      </c>
      <c r="F718" t="str">
        <f t="shared" si="46"/>
        <v>South San Francisco</v>
      </c>
      <c r="G718" t="s">
        <v>9</v>
      </c>
      <c r="H718" t="s">
        <v>45</v>
      </c>
      <c r="I718">
        <v>59</v>
      </c>
      <c r="J718">
        <v>125</v>
      </c>
      <c r="K718">
        <v>92</v>
      </c>
      <c r="L718" t="str">
        <f t="shared" si="47"/>
        <v>$75–100K</v>
      </c>
      <c r="M718">
        <v>15</v>
      </c>
    </row>
    <row r="719" spans="1:13">
      <c r="A719" t="s">
        <v>375</v>
      </c>
      <c r="B719" t="str">
        <f t="shared" si="44"/>
        <v>Junior</v>
      </c>
      <c r="C719" t="str">
        <f t="shared" si="45"/>
        <v>Data Analyst</v>
      </c>
      <c r="D719">
        <v>3.3</v>
      </c>
      <c r="E719" t="s">
        <v>376</v>
      </c>
      <c r="F719" t="str">
        <f t="shared" si="46"/>
        <v>Richfield</v>
      </c>
      <c r="G719" t="s">
        <v>9</v>
      </c>
      <c r="H719" t="s">
        <v>55</v>
      </c>
      <c r="I719">
        <v>32</v>
      </c>
      <c r="J719">
        <v>59</v>
      </c>
      <c r="K719">
        <v>45.5</v>
      </c>
      <c r="L719" t="str">
        <f t="shared" si="47"/>
        <v>&lt;$50K</v>
      </c>
      <c r="M719">
        <v>32</v>
      </c>
    </row>
    <row r="720" spans="1:13">
      <c r="A720" t="s">
        <v>284</v>
      </c>
      <c r="B720" t="str">
        <f t="shared" si="44"/>
        <v>Senior</v>
      </c>
      <c r="C720" t="str">
        <f t="shared" si="45"/>
        <v>Data Engineer</v>
      </c>
      <c r="D720">
        <v>4.5</v>
      </c>
      <c r="E720" t="s">
        <v>125</v>
      </c>
      <c r="F720" t="str">
        <f t="shared" si="46"/>
        <v>Indianapolis</v>
      </c>
      <c r="G720" t="s">
        <v>22</v>
      </c>
      <c r="H720" t="s">
        <v>30</v>
      </c>
      <c r="I720">
        <v>87</v>
      </c>
      <c r="J720">
        <v>158</v>
      </c>
      <c r="K720">
        <v>122.5</v>
      </c>
      <c r="L720" t="str">
        <f t="shared" si="47"/>
        <v>$100–125K</v>
      </c>
      <c r="M720">
        <v>25</v>
      </c>
    </row>
    <row r="721" spans="1:13">
      <c r="A721" t="s">
        <v>342</v>
      </c>
      <c r="B721" t="str">
        <f t="shared" si="44"/>
        <v>Mid-Level</v>
      </c>
      <c r="C721" t="str">
        <f t="shared" si="45"/>
        <v>Data Analyst</v>
      </c>
      <c r="D721">
        <v>3</v>
      </c>
      <c r="E721" t="s">
        <v>199</v>
      </c>
      <c r="F721" t="str">
        <f t="shared" si="46"/>
        <v>Tampa</v>
      </c>
      <c r="G721" t="s">
        <v>19</v>
      </c>
      <c r="H721" t="s">
        <v>52</v>
      </c>
      <c r="I721">
        <v>27</v>
      </c>
      <c r="J721">
        <v>48</v>
      </c>
      <c r="K721">
        <v>37.5</v>
      </c>
      <c r="L721" t="str">
        <f t="shared" si="47"/>
        <v>&lt;$50K</v>
      </c>
      <c r="M721">
        <v>44</v>
      </c>
    </row>
    <row r="722" spans="1:13">
      <c r="A722" t="s">
        <v>478</v>
      </c>
      <c r="B722" t="str">
        <f t="shared" si="44"/>
        <v>Junior</v>
      </c>
      <c r="C722" t="str">
        <f t="shared" si="45"/>
        <v>Data Analyst</v>
      </c>
      <c r="D722">
        <v>3.7</v>
      </c>
      <c r="E722" t="s">
        <v>65</v>
      </c>
      <c r="F722" t="str">
        <f t="shared" si="46"/>
        <v>Worcester</v>
      </c>
      <c r="G722" t="s">
        <v>38</v>
      </c>
      <c r="H722" t="s">
        <v>55</v>
      </c>
      <c r="I722">
        <v>39</v>
      </c>
      <c r="J722">
        <v>69</v>
      </c>
      <c r="K722">
        <v>54</v>
      </c>
      <c r="L722" t="str">
        <f t="shared" si="47"/>
        <v>$50–75K</v>
      </c>
      <c r="M722">
        <v>169</v>
      </c>
    </row>
    <row r="723" spans="1:13">
      <c r="A723" t="s">
        <v>479</v>
      </c>
      <c r="B723" t="str">
        <f t="shared" si="44"/>
        <v>Mid-Level</v>
      </c>
      <c r="C723" t="str">
        <f t="shared" si="45"/>
        <v>Data Analyst</v>
      </c>
      <c r="D723">
        <v>3.8</v>
      </c>
      <c r="E723" t="s">
        <v>21</v>
      </c>
      <c r="F723" t="str">
        <f t="shared" si="46"/>
        <v>New York</v>
      </c>
      <c r="G723" t="s">
        <v>19</v>
      </c>
      <c r="H723" t="s">
        <v>201</v>
      </c>
      <c r="I723">
        <v>36</v>
      </c>
      <c r="J723">
        <v>71</v>
      </c>
      <c r="K723">
        <v>53.5</v>
      </c>
      <c r="L723" t="str">
        <f t="shared" si="47"/>
        <v>$50–75K</v>
      </c>
      <c r="M723">
        <v>19</v>
      </c>
    </row>
    <row r="724" spans="1:13">
      <c r="A724" t="s">
        <v>377</v>
      </c>
      <c r="B724" t="str">
        <f t="shared" si="44"/>
        <v>Senior</v>
      </c>
      <c r="C724" t="str">
        <f t="shared" si="45"/>
        <v>Data Scientist</v>
      </c>
      <c r="D724">
        <v>3.9</v>
      </c>
      <c r="E724" t="s">
        <v>59</v>
      </c>
      <c r="F724" t="str">
        <f t="shared" si="46"/>
        <v>Chicago</v>
      </c>
      <c r="G724" t="s">
        <v>38</v>
      </c>
      <c r="H724" t="s">
        <v>148</v>
      </c>
      <c r="I724">
        <v>107</v>
      </c>
      <c r="J724">
        <v>173</v>
      </c>
      <c r="K724">
        <v>140</v>
      </c>
      <c r="L724" t="str">
        <f t="shared" si="47"/>
        <v>$125–150K</v>
      </c>
      <c r="M724">
        <v>53</v>
      </c>
    </row>
    <row r="725" spans="1:13">
      <c r="A725" t="s">
        <v>378</v>
      </c>
      <c r="B725" t="str">
        <f t="shared" si="44"/>
        <v>Senior</v>
      </c>
      <c r="C725" t="str">
        <f t="shared" si="45"/>
        <v>Data Scientist</v>
      </c>
      <c r="D725">
        <v>3.2</v>
      </c>
      <c r="E725" t="s">
        <v>379</v>
      </c>
      <c r="F725" t="str">
        <f t="shared" si="46"/>
        <v>Hampton</v>
      </c>
      <c r="G725" t="s">
        <v>38</v>
      </c>
      <c r="H725" t="s">
        <v>156</v>
      </c>
      <c r="I725">
        <v>56</v>
      </c>
      <c r="J725">
        <v>99</v>
      </c>
      <c r="K725">
        <v>77.5</v>
      </c>
      <c r="L725" t="str">
        <f t="shared" si="47"/>
        <v>$75–100K</v>
      </c>
      <c r="M725">
        <v>63</v>
      </c>
    </row>
    <row r="726" spans="1:13">
      <c r="A726" t="s">
        <v>380</v>
      </c>
      <c r="B726" t="str">
        <f t="shared" si="44"/>
        <v>Mid-Level</v>
      </c>
      <c r="C726" t="str">
        <f t="shared" si="45"/>
        <v>Data Scientist</v>
      </c>
      <c r="D726">
        <v>3.3</v>
      </c>
      <c r="E726" t="s">
        <v>44</v>
      </c>
      <c r="F726" t="str">
        <f t="shared" si="46"/>
        <v>Cambridge</v>
      </c>
      <c r="G726" s="1">
        <v>18264</v>
      </c>
      <c r="H726" t="s">
        <v>381</v>
      </c>
      <c r="I726">
        <v>52</v>
      </c>
      <c r="J726">
        <v>58</v>
      </c>
      <c r="K726">
        <v>55</v>
      </c>
      <c r="L726" t="str">
        <f t="shared" si="47"/>
        <v>$50–75K</v>
      </c>
      <c r="M726">
        <v>45</v>
      </c>
    </row>
    <row r="727" spans="1:13">
      <c r="A727" t="s">
        <v>382</v>
      </c>
      <c r="B727" t="str">
        <f t="shared" si="44"/>
        <v>Senior</v>
      </c>
      <c r="C727" t="str">
        <f t="shared" si="45"/>
        <v>Data Scientist</v>
      </c>
      <c r="D727">
        <v>3.1</v>
      </c>
      <c r="E727" t="s">
        <v>356</v>
      </c>
      <c r="F727" t="str">
        <f t="shared" si="46"/>
        <v>Winston-Salem</v>
      </c>
      <c r="G727" t="s">
        <v>38</v>
      </c>
      <c r="H727" t="s">
        <v>86</v>
      </c>
      <c r="I727">
        <v>80</v>
      </c>
      <c r="J727">
        <v>155</v>
      </c>
      <c r="K727">
        <v>117.5</v>
      </c>
      <c r="L727" t="str">
        <f t="shared" si="47"/>
        <v>$100–125K</v>
      </c>
      <c r="M727">
        <v>146</v>
      </c>
    </row>
    <row r="728" spans="1:13">
      <c r="A728" t="s">
        <v>383</v>
      </c>
      <c r="B728" t="str">
        <f t="shared" si="44"/>
        <v>Mid-Level</v>
      </c>
      <c r="C728" t="str">
        <f t="shared" si="45"/>
        <v>Data Scientist</v>
      </c>
      <c r="D728">
        <v>2.4</v>
      </c>
      <c r="E728" t="s">
        <v>106</v>
      </c>
      <c r="F728" t="str">
        <f t="shared" si="46"/>
        <v>San Diego</v>
      </c>
      <c r="G728" t="s">
        <v>9</v>
      </c>
      <c r="H728" t="s">
        <v>45</v>
      </c>
      <c r="I728">
        <v>43</v>
      </c>
      <c r="J728">
        <v>98</v>
      </c>
      <c r="K728">
        <v>70.5</v>
      </c>
      <c r="L728" t="str">
        <f t="shared" si="47"/>
        <v>$50–75K</v>
      </c>
      <c r="M728">
        <v>15</v>
      </c>
    </row>
    <row r="729" spans="1:13">
      <c r="A729" t="s">
        <v>384</v>
      </c>
      <c r="B729" t="str">
        <f t="shared" si="44"/>
        <v>Management</v>
      </c>
      <c r="C729" t="str">
        <f t="shared" si="45"/>
        <v>DS Manager</v>
      </c>
      <c r="D729">
        <v>4.8</v>
      </c>
      <c r="E729" t="s">
        <v>34</v>
      </c>
      <c r="F729" t="str">
        <f t="shared" si="46"/>
        <v>San Francisco</v>
      </c>
      <c r="G729" t="s">
        <v>22</v>
      </c>
      <c r="H729" t="s">
        <v>76</v>
      </c>
      <c r="I729">
        <v>45</v>
      </c>
      <c r="J729">
        <v>78</v>
      </c>
      <c r="K729">
        <v>61.5</v>
      </c>
      <c r="L729" t="str">
        <f t="shared" si="47"/>
        <v>$50–75K</v>
      </c>
      <c r="M729">
        <v>10</v>
      </c>
    </row>
    <row r="730" spans="1:13">
      <c r="A730" t="s">
        <v>387</v>
      </c>
      <c r="B730" t="str">
        <f t="shared" si="44"/>
        <v>Senior</v>
      </c>
      <c r="C730" t="str">
        <f t="shared" si="45"/>
        <v>Data Scientist</v>
      </c>
      <c r="D730">
        <v>2.9</v>
      </c>
      <c r="E730" t="s">
        <v>388</v>
      </c>
      <c r="F730" t="str">
        <f t="shared" si="46"/>
        <v>Marietta</v>
      </c>
      <c r="G730" t="s">
        <v>19</v>
      </c>
      <c r="H730" t="s">
        <v>45</v>
      </c>
      <c r="I730">
        <v>50</v>
      </c>
      <c r="J730">
        <v>110</v>
      </c>
      <c r="K730">
        <v>80</v>
      </c>
      <c r="L730" t="str">
        <f t="shared" si="47"/>
        <v>$75–100K</v>
      </c>
      <c r="M730">
        <v>6</v>
      </c>
    </row>
    <row r="731" spans="1:13">
      <c r="A731" t="s">
        <v>385</v>
      </c>
      <c r="B731" t="str">
        <f t="shared" si="44"/>
        <v>Junior</v>
      </c>
      <c r="C731" t="str">
        <f t="shared" si="45"/>
        <v>Data Scientist</v>
      </c>
      <c r="D731">
        <v>2.9</v>
      </c>
      <c r="E731" t="s">
        <v>386</v>
      </c>
      <c r="F731" t="str">
        <f t="shared" si="46"/>
        <v>Ithaca</v>
      </c>
      <c r="G731" t="s">
        <v>19</v>
      </c>
      <c r="H731" t="s">
        <v>45</v>
      </c>
      <c r="I731">
        <v>44</v>
      </c>
      <c r="J731">
        <v>96</v>
      </c>
      <c r="K731">
        <v>70</v>
      </c>
      <c r="L731" t="str">
        <f t="shared" si="47"/>
        <v>$50–75K</v>
      </c>
      <c r="M731">
        <v>6</v>
      </c>
    </row>
    <row r="732" spans="1:13">
      <c r="A732" t="s">
        <v>391</v>
      </c>
      <c r="B732" t="str">
        <f t="shared" si="44"/>
        <v>Mid-Level</v>
      </c>
      <c r="C732" t="str">
        <f t="shared" si="45"/>
        <v>Research Scientist</v>
      </c>
      <c r="D732">
        <v>-1</v>
      </c>
      <c r="E732" t="s">
        <v>44</v>
      </c>
      <c r="F732" t="str">
        <f t="shared" si="46"/>
        <v>Cambridge</v>
      </c>
      <c r="G732" t="s">
        <v>89</v>
      </c>
      <c r="H732">
        <v>-1</v>
      </c>
      <c r="I732">
        <v>100</v>
      </c>
      <c r="J732">
        <v>140</v>
      </c>
      <c r="K732">
        <v>120</v>
      </c>
      <c r="L732" t="str">
        <f t="shared" si="47"/>
        <v>$100–125K</v>
      </c>
      <c r="M732">
        <v>-1</v>
      </c>
    </row>
    <row r="733" spans="1:13">
      <c r="A733" t="s">
        <v>389</v>
      </c>
      <c r="B733" t="str">
        <f t="shared" si="44"/>
        <v>Mid-Level</v>
      </c>
      <c r="C733" t="str">
        <f t="shared" si="45"/>
        <v>Data Engineer</v>
      </c>
      <c r="D733">
        <v>3.4</v>
      </c>
      <c r="E733" t="s">
        <v>390</v>
      </c>
      <c r="F733" t="str">
        <f t="shared" si="46"/>
        <v>Quincy</v>
      </c>
      <c r="G733" t="s">
        <v>19</v>
      </c>
      <c r="H733" t="s">
        <v>55</v>
      </c>
      <c r="I733">
        <v>61</v>
      </c>
      <c r="J733">
        <v>119</v>
      </c>
      <c r="K733">
        <v>90</v>
      </c>
      <c r="L733" t="str">
        <f t="shared" si="47"/>
        <v>$75–100K</v>
      </c>
      <c r="M733">
        <v>33</v>
      </c>
    </row>
    <row r="734" spans="1:13">
      <c r="A734" t="s">
        <v>536</v>
      </c>
      <c r="B734" t="str">
        <f t="shared" si="44"/>
        <v>Mid-Level</v>
      </c>
      <c r="C734" t="str">
        <f t="shared" si="45"/>
        <v>ML Engineer</v>
      </c>
      <c r="D734">
        <v>4.0999999999999996</v>
      </c>
      <c r="E734" t="s">
        <v>112</v>
      </c>
      <c r="F734" t="str">
        <f t="shared" si="46"/>
        <v>Palo Alto</v>
      </c>
      <c r="G734" s="1">
        <v>18264</v>
      </c>
      <c r="H734" t="s">
        <v>327</v>
      </c>
      <c r="I734">
        <v>80</v>
      </c>
      <c r="J734">
        <v>142</v>
      </c>
      <c r="K734">
        <v>111</v>
      </c>
      <c r="L734" t="str">
        <f t="shared" si="47"/>
        <v>$100–125K</v>
      </c>
      <c r="M734">
        <v>14</v>
      </c>
    </row>
    <row r="735" spans="1:13">
      <c r="A735" t="s">
        <v>169</v>
      </c>
      <c r="B735" t="str">
        <f t="shared" si="44"/>
        <v>Senior</v>
      </c>
      <c r="C735" t="str">
        <f t="shared" si="45"/>
        <v>Data Analyst</v>
      </c>
      <c r="D735">
        <v>3.9</v>
      </c>
      <c r="E735" t="s">
        <v>34</v>
      </c>
      <c r="F735" t="str">
        <f t="shared" si="46"/>
        <v>San Francisco</v>
      </c>
      <c r="G735" t="s">
        <v>22</v>
      </c>
      <c r="H735" t="s">
        <v>76</v>
      </c>
      <c r="I735">
        <v>99</v>
      </c>
      <c r="J735">
        <v>178</v>
      </c>
      <c r="K735">
        <v>138.5</v>
      </c>
      <c r="L735" t="str">
        <f t="shared" si="47"/>
        <v>$125–150K</v>
      </c>
      <c r="M735">
        <v>13</v>
      </c>
    </row>
    <row r="736" spans="1:13">
      <c r="A736" t="s">
        <v>483</v>
      </c>
      <c r="B736" t="str">
        <f t="shared" si="44"/>
        <v>Management</v>
      </c>
      <c r="C736" t="str">
        <f t="shared" si="45"/>
        <v>DS Manager</v>
      </c>
      <c r="D736">
        <v>3.6</v>
      </c>
      <c r="E736" t="s">
        <v>102</v>
      </c>
      <c r="F736" t="str">
        <f t="shared" si="46"/>
        <v>Boston</v>
      </c>
      <c r="G736" t="s">
        <v>38</v>
      </c>
      <c r="H736" t="s">
        <v>55</v>
      </c>
      <c r="I736">
        <v>37</v>
      </c>
      <c r="J736">
        <v>100</v>
      </c>
      <c r="K736">
        <v>68.5</v>
      </c>
      <c r="L736" t="str">
        <f t="shared" si="47"/>
        <v>$50–75K</v>
      </c>
      <c r="M736">
        <v>170</v>
      </c>
    </row>
    <row r="737" spans="1:13">
      <c r="A737" t="s">
        <v>80</v>
      </c>
      <c r="B737" t="str">
        <f t="shared" si="44"/>
        <v>Mid-Level</v>
      </c>
      <c r="C737" t="str">
        <f t="shared" si="45"/>
        <v>Data Engineer</v>
      </c>
      <c r="D737">
        <v>3.9</v>
      </c>
      <c r="E737" t="s">
        <v>34</v>
      </c>
      <c r="F737" t="str">
        <f t="shared" si="46"/>
        <v>San Francisco</v>
      </c>
      <c r="G737" t="s">
        <v>25</v>
      </c>
      <c r="H737" t="s">
        <v>33</v>
      </c>
      <c r="I737">
        <v>62</v>
      </c>
      <c r="J737">
        <v>113</v>
      </c>
      <c r="K737">
        <v>87.5</v>
      </c>
      <c r="L737" t="str">
        <f t="shared" si="47"/>
        <v>$75–100K</v>
      </c>
      <c r="M737">
        <v>10</v>
      </c>
    </row>
    <row r="738" spans="1:13">
      <c r="A738" t="s">
        <v>481</v>
      </c>
      <c r="B738" t="str">
        <f t="shared" si="44"/>
        <v>Senior</v>
      </c>
      <c r="C738" t="str">
        <f t="shared" si="45"/>
        <v>Data Scientist</v>
      </c>
      <c r="D738">
        <v>3.6</v>
      </c>
      <c r="E738" t="s">
        <v>482</v>
      </c>
      <c r="F738" t="str">
        <f t="shared" si="46"/>
        <v>Plymouth Meeting</v>
      </c>
      <c r="G738" t="s">
        <v>14</v>
      </c>
      <c r="H738" t="s">
        <v>45</v>
      </c>
      <c r="I738">
        <v>86</v>
      </c>
      <c r="J738">
        <v>137</v>
      </c>
      <c r="K738">
        <v>111.5</v>
      </c>
      <c r="L738" t="str">
        <f t="shared" si="47"/>
        <v>$100–125K</v>
      </c>
      <c r="M738">
        <v>4</v>
      </c>
    </row>
    <row r="739" spans="1:13">
      <c r="A739" t="s">
        <v>484</v>
      </c>
      <c r="B739" t="str">
        <f t="shared" si="44"/>
        <v>Senior</v>
      </c>
      <c r="C739" t="str">
        <f t="shared" si="45"/>
        <v>Data Scientist</v>
      </c>
      <c r="D739">
        <v>3.9</v>
      </c>
      <c r="E739" t="s">
        <v>44</v>
      </c>
      <c r="F739" t="str">
        <f t="shared" si="46"/>
        <v>Cambridge</v>
      </c>
      <c r="G739" t="s">
        <v>14</v>
      </c>
      <c r="H739" t="s">
        <v>45</v>
      </c>
      <c r="I739">
        <v>58</v>
      </c>
      <c r="J739">
        <v>111</v>
      </c>
      <c r="K739">
        <v>84.5</v>
      </c>
      <c r="L739" t="str">
        <f t="shared" si="47"/>
        <v>$75–100K</v>
      </c>
      <c r="M739">
        <v>191</v>
      </c>
    </row>
    <row r="740" spans="1:13">
      <c r="A740" t="s">
        <v>180</v>
      </c>
      <c r="B740" t="str">
        <f t="shared" si="44"/>
        <v>Senior</v>
      </c>
      <c r="C740" t="str">
        <f t="shared" si="45"/>
        <v>Data Engineer</v>
      </c>
      <c r="D740">
        <v>4.4000000000000004</v>
      </c>
      <c r="E740" t="s">
        <v>302</v>
      </c>
      <c r="F740" t="str">
        <f t="shared" si="46"/>
        <v>Nashville</v>
      </c>
      <c r="G740" t="s">
        <v>19</v>
      </c>
      <c r="H740" t="s">
        <v>33</v>
      </c>
      <c r="I740">
        <v>72</v>
      </c>
      <c r="J740">
        <v>133</v>
      </c>
      <c r="K740">
        <v>102.5</v>
      </c>
      <c r="L740" t="str">
        <f t="shared" si="47"/>
        <v>$100–125K</v>
      </c>
      <c r="M740">
        <v>15</v>
      </c>
    </row>
    <row r="741" spans="1:13">
      <c r="A741" t="s">
        <v>392</v>
      </c>
      <c r="B741" t="str">
        <f t="shared" si="44"/>
        <v>Mid-Level</v>
      </c>
      <c r="C741" t="str">
        <f t="shared" si="45"/>
        <v>Data Scientist</v>
      </c>
      <c r="D741">
        <v>2.6</v>
      </c>
      <c r="E741" t="s">
        <v>133</v>
      </c>
      <c r="F741" t="str">
        <f t="shared" si="46"/>
        <v>Pittsburgh</v>
      </c>
      <c r="G741" t="s">
        <v>9</v>
      </c>
      <c r="H741" t="s">
        <v>208</v>
      </c>
      <c r="I741">
        <v>56</v>
      </c>
      <c r="J741">
        <v>91</v>
      </c>
      <c r="K741">
        <v>73.5</v>
      </c>
      <c r="L741" t="str">
        <f t="shared" si="47"/>
        <v>$50–75K</v>
      </c>
      <c r="M741">
        <v>37</v>
      </c>
    </row>
    <row r="742" spans="1:13">
      <c r="A742" t="s">
        <v>486</v>
      </c>
      <c r="B742" t="str">
        <f t="shared" si="44"/>
        <v>Management</v>
      </c>
      <c r="C742" t="str">
        <f t="shared" si="45"/>
        <v>DS Manager</v>
      </c>
      <c r="D742">
        <v>3.2</v>
      </c>
      <c r="E742" t="s">
        <v>487</v>
      </c>
      <c r="F742" t="str">
        <f t="shared" si="46"/>
        <v>Allentown</v>
      </c>
      <c r="G742" s="1">
        <v>18264</v>
      </c>
      <c r="H742" t="s">
        <v>121</v>
      </c>
      <c r="I742">
        <v>95</v>
      </c>
      <c r="J742">
        <v>160</v>
      </c>
      <c r="K742">
        <v>127.5</v>
      </c>
      <c r="L742" t="str">
        <f t="shared" si="47"/>
        <v>$125–150K</v>
      </c>
      <c r="M742">
        <v>-1</v>
      </c>
    </row>
    <row r="743" spans="1:13">
      <c r="A743" t="s">
        <v>485</v>
      </c>
      <c r="B743" t="str">
        <f t="shared" si="44"/>
        <v>Mid-Level</v>
      </c>
      <c r="C743" t="str">
        <f t="shared" si="45"/>
        <v>Research Scientist</v>
      </c>
      <c r="D743">
        <v>3.6</v>
      </c>
      <c r="E743" t="s">
        <v>96</v>
      </c>
      <c r="F743" t="str">
        <f t="shared" si="46"/>
        <v>Beavercreek</v>
      </c>
      <c r="G743" t="s">
        <v>9</v>
      </c>
      <c r="H743" t="s">
        <v>156</v>
      </c>
      <c r="I743">
        <v>61</v>
      </c>
      <c r="J743">
        <v>126</v>
      </c>
      <c r="K743">
        <v>93.5</v>
      </c>
      <c r="L743" t="str">
        <f t="shared" si="47"/>
        <v>$75–100K</v>
      </c>
      <c r="M743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K743"/>
  <sheetViews>
    <sheetView topLeftCell="C1" workbookViewId="0">
      <selection activeCell="E17" sqref="E17"/>
    </sheetView>
  </sheetViews>
  <sheetFormatPr defaultRowHeight="15"/>
  <cols>
    <col min="2" max="2" width="21.5703125" customWidth="1"/>
    <col min="3" max="3" width="22" customWidth="1"/>
  </cols>
  <sheetData>
    <row r="1" spans="1:11">
      <c r="A1" t="s">
        <v>1</v>
      </c>
      <c r="B1" t="s">
        <v>5</v>
      </c>
      <c r="C1" t="s">
        <v>583</v>
      </c>
    </row>
    <row r="2" spans="1:11">
      <c r="A2">
        <v>3.8</v>
      </c>
      <c r="B2">
        <v>72</v>
      </c>
      <c r="C2" t="str">
        <f>IF(A2&lt;3,"Under 3.0",IF(A2&lt;3.5,"3.0–3.5",IF(A2&lt;4,"3.5–4.0",IF(A2&lt;4.5,"4.0–4.5","4.5+"))))</f>
        <v>3.5–4.0</v>
      </c>
    </row>
    <row r="3" spans="1:11">
      <c r="A3">
        <v>3.4</v>
      </c>
      <c r="B3">
        <v>87.5</v>
      </c>
      <c r="C3" t="str">
        <f t="shared" ref="C3:C66" si="0">IF(A3&lt;3,"Under 3.0",IF(A3&lt;3.5,"3.0–3.5",IF(A3&lt;4,"3.5–4.0",IF(A3&lt;4.5,"4.0–4.5","4.5+"))))</f>
        <v>3.0–3.5</v>
      </c>
    </row>
    <row r="4" spans="1:11">
      <c r="A4">
        <v>4.8</v>
      </c>
      <c r="B4">
        <v>85</v>
      </c>
      <c r="C4" t="str">
        <f t="shared" si="0"/>
        <v>4.5+</v>
      </c>
    </row>
    <row r="5" spans="1:11">
      <c r="A5">
        <v>3.8</v>
      </c>
      <c r="B5">
        <v>76.5</v>
      </c>
      <c r="C5" t="str">
        <f t="shared" si="0"/>
        <v>3.5–4.0</v>
      </c>
    </row>
    <row r="6" spans="1:11">
      <c r="A6">
        <v>2.9</v>
      </c>
      <c r="B6">
        <v>114.5</v>
      </c>
      <c r="C6" t="str">
        <f t="shared" si="0"/>
        <v>Under 3.0</v>
      </c>
    </row>
    <row r="7" spans="1:11">
      <c r="A7">
        <v>3.4</v>
      </c>
      <c r="B7">
        <v>95</v>
      </c>
      <c r="C7" t="str">
        <f t="shared" si="0"/>
        <v>3.0–3.5</v>
      </c>
    </row>
    <row r="8" spans="1:11">
      <c r="A8">
        <v>4.0999999999999996</v>
      </c>
      <c r="B8">
        <v>73.5</v>
      </c>
      <c r="C8" t="str">
        <f t="shared" si="0"/>
        <v>4.0–4.5</v>
      </c>
    </row>
    <row r="9" spans="1:11">
      <c r="A9">
        <v>3.8</v>
      </c>
      <c r="B9">
        <v>114</v>
      </c>
      <c r="C9" t="str">
        <f t="shared" si="0"/>
        <v>3.5–4.0</v>
      </c>
    </row>
    <row r="10" spans="1:11">
      <c r="A10">
        <v>3.3</v>
      </c>
      <c r="B10">
        <v>61</v>
      </c>
      <c r="C10" t="str">
        <f t="shared" si="0"/>
        <v>3.0–3.5</v>
      </c>
    </row>
    <row r="11" spans="1:11">
      <c r="A11">
        <v>4.5999999999999996</v>
      </c>
      <c r="B11">
        <v>140</v>
      </c>
      <c r="C11" t="str">
        <f t="shared" si="0"/>
        <v>4.5+</v>
      </c>
    </row>
    <row r="12" spans="1:11">
      <c r="A12">
        <v>3.5</v>
      </c>
      <c r="B12">
        <v>163.5</v>
      </c>
      <c r="C12" t="str">
        <f t="shared" si="0"/>
        <v>3.5–4.0</v>
      </c>
      <c r="I12" s="9"/>
      <c r="J12" s="10"/>
      <c r="K12" s="11"/>
    </row>
    <row r="13" spans="1:11">
      <c r="A13">
        <v>4.0999999999999996</v>
      </c>
      <c r="B13">
        <v>85</v>
      </c>
      <c r="C13" t="str">
        <f t="shared" si="0"/>
        <v>4.0–4.5</v>
      </c>
      <c r="I13" s="12"/>
      <c r="J13" s="13"/>
      <c r="K13" s="14"/>
    </row>
    <row r="14" spans="1:11">
      <c r="A14">
        <v>3.2</v>
      </c>
      <c r="B14">
        <v>139</v>
      </c>
      <c r="C14" t="str">
        <f t="shared" si="0"/>
        <v>3.0–3.5</v>
      </c>
      <c r="I14" s="12"/>
      <c r="J14" s="13"/>
      <c r="K14" s="14"/>
    </row>
    <row r="15" spans="1:11">
      <c r="A15">
        <v>4.0999999999999996</v>
      </c>
      <c r="B15">
        <v>65.5</v>
      </c>
      <c r="C15" t="str">
        <f t="shared" si="0"/>
        <v>4.0–4.5</v>
      </c>
      <c r="I15" s="12"/>
      <c r="J15" s="13"/>
      <c r="K15" s="14"/>
    </row>
    <row r="16" spans="1:11">
      <c r="A16">
        <v>3.7</v>
      </c>
      <c r="B16">
        <v>113.5</v>
      </c>
      <c r="C16" t="str">
        <f t="shared" si="0"/>
        <v>3.5–4.0</v>
      </c>
      <c r="I16" s="12"/>
      <c r="J16" s="13"/>
      <c r="K16" s="14"/>
    </row>
    <row r="17" spans="1:11">
      <c r="A17">
        <v>3.6</v>
      </c>
      <c r="B17">
        <v>146</v>
      </c>
      <c r="C17" t="str">
        <f t="shared" si="0"/>
        <v>3.5–4.0</v>
      </c>
      <c r="I17" s="12"/>
      <c r="J17" s="13"/>
      <c r="K17" s="14"/>
    </row>
    <row r="18" spans="1:11">
      <c r="A18">
        <v>3.9</v>
      </c>
      <c r="B18">
        <v>102</v>
      </c>
      <c r="C18" t="str">
        <f t="shared" si="0"/>
        <v>3.5–4.0</v>
      </c>
      <c r="I18" s="12"/>
      <c r="J18" s="13"/>
      <c r="K18" s="14"/>
    </row>
    <row r="19" spans="1:11">
      <c r="A19">
        <v>4.3</v>
      </c>
      <c r="B19">
        <v>153.5</v>
      </c>
      <c r="C19" t="str">
        <f t="shared" si="0"/>
        <v>4.0–4.5</v>
      </c>
      <c r="I19" s="12"/>
      <c r="J19" s="13"/>
      <c r="K19" s="14"/>
    </row>
    <row r="20" spans="1:11">
      <c r="A20">
        <v>4.2</v>
      </c>
      <c r="B20">
        <v>142.5</v>
      </c>
      <c r="C20" t="str">
        <f t="shared" si="0"/>
        <v>4.0–4.5</v>
      </c>
      <c r="I20" s="12"/>
      <c r="J20" s="13"/>
      <c r="K20" s="14"/>
    </row>
    <row r="21" spans="1:11">
      <c r="A21">
        <v>4</v>
      </c>
      <c r="B21">
        <v>87.5</v>
      </c>
      <c r="C21" t="str">
        <f t="shared" si="0"/>
        <v>4.0–4.5</v>
      </c>
      <c r="I21" s="12"/>
      <c r="J21" s="13"/>
      <c r="K21" s="14"/>
    </row>
    <row r="22" spans="1:11">
      <c r="A22">
        <v>3.2</v>
      </c>
      <c r="B22">
        <v>105.5</v>
      </c>
      <c r="C22" t="str">
        <f t="shared" si="0"/>
        <v>3.0–3.5</v>
      </c>
      <c r="I22" s="12"/>
      <c r="J22" s="13"/>
      <c r="K22" s="14"/>
    </row>
    <row r="23" spans="1:11">
      <c r="A23">
        <v>3.9</v>
      </c>
      <c r="B23">
        <v>96</v>
      </c>
      <c r="C23" t="str">
        <f t="shared" si="0"/>
        <v>3.5–4.0</v>
      </c>
      <c r="I23" s="12"/>
      <c r="J23" s="13"/>
      <c r="K23" s="14"/>
    </row>
    <row r="24" spans="1:11">
      <c r="A24">
        <v>3.8</v>
      </c>
      <c r="B24">
        <v>112.5</v>
      </c>
      <c r="C24" t="str">
        <f t="shared" si="0"/>
        <v>3.5–4.0</v>
      </c>
      <c r="I24" s="12"/>
      <c r="J24" s="13"/>
      <c r="K24" s="14"/>
    </row>
    <row r="25" spans="1:11">
      <c r="A25">
        <v>4.3</v>
      </c>
      <c r="B25">
        <v>84</v>
      </c>
      <c r="C25" t="str">
        <f t="shared" si="0"/>
        <v>4.0–4.5</v>
      </c>
      <c r="I25" s="12"/>
      <c r="J25" s="13"/>
      <c r="K25" s="14"/>
    </row>
    <row r="26" spans="1:11">
      <c r="A26">
        <v>4</v>
      </c>
      <c r="B26">
        <v>143</v>
      </c>
      <c r="C26" t="str">
        <f t="shared" si="0"/>
        <v>4.0–4.5</v>
      </c>
      <c r="I26" s="12"/>
      <c r="J26" s="13"/>
      <c r="K26" s="14"/>
    </row>
    <row r="27" spans="1:11">
      <c r="A27">
        <v>4</v>
      </c>
      <c r="B27">
        <v>86.5</v>
      </c>
      <c r="C27" t="str">
        <f t="shared" si="0"/>
        <v>4.0–4.5</v>
      </c>
      <c r="I27" s="12"/>
      <c r="J27" s="13"/>
      <c r="K27" s="14"/>
    </row>
    <row r="28" spans="1:11">
      <c r="A28">
        <v>3.5</v>
      </c>
      <c r="B28">
        <v>99.5</v>
      </c>
      <c r="C28" t="str">
        <f t="shared" si="0"/>
        <v>3.5–4.0</v>
      </c>
      <c r="I28" s="12"/>
      <c r="J28" s="13"/>
      <c r="K28" s="14"/>
    </row>
    <row r="29" spans="1:11">
      <c r="A29">
        <v>3.7</v>
      </c>
      <c r="B29">
        <v>47.5</v>
      </c>
      <c r="C29" t="str">
        <f t="shared" si="0"/>
        <v>3.5–4.0</v>
      </c>
      <c r="I29" s="15"/>
      <c r="J29" s="16"/>
      <c r="K29" s="17"/>
    </row>
    <row r="30" spans="1:11">
      <c r="A30">
        <v>4</v>
      </c>
      <c r="B30">
        <v>84</v>
      </c>
      <c r="C30" t="str">
        <f t="shared" si="0"/>
        <v>4.0–4.5</v>
      </c>
    </row>
    <row r="31" spans="1:11">
      <c r="A31">
        <v>4.8</v>
      </c>
      <c r="B31">
        <v>85</v>
      </c>
      <c r="C31" t="str">
        <f t="shared" si="0"/>
        <v>4.5+</v>
      </c>
    </row>
    <row r="32" spans="1:11">
      <c r="A32">
        <v>3.8</v>
      </c>
      <c r="B32">
        <v>76.5</v>
      </c>
      <c r="C32" t="str">
        <f t="shared" si="0"/>
        <v>3.5–4.0</v>
      </c>
    </row>
    <row r="33" spans="1:3">
      <c r="A33">
        <v>3.6</v>
      </c>
      <c r="B33">
        <v>96</v>
      </c>
      <c r="C33" t="str">
        <f t="shared" si="0"/>
        <v>3.5–4.0</v>
      </c>
    </row>
    <row r="34" spans="1:3">
      <c r="A34">
        <v>3.8</v>
      </c>
      <c r="B34">
        <v>114.5</v>
      </c>
      <c r="C34" t="str">
        <f t="shared" si="0"/>
        <v>3.5–4.0</v>
      </c>
    </row>
    <row r="35" spans="1:3">
      <c r="A35">
        <v>3.8</v>
      </c>
      <c r="B35">
        <v>121</v>
      </c>
      <c r="C35" t="str">
        <f t="shared" si="0"/>
        <v>3.5–4.0</v>
      </c>
    </row>
    <row r="36" spans="1:3">
      <c r="A36">
        <v>4.7</v>
      </c>
      <c r="B36">
        <v>112.5</v>
      </c>
      <c r="C36" t="str">
        <f t="shared" si="0"/>
        <v>4.5+</v>
      </c>
    </row>
    <row r="37" spans="1:3">
      <c r="A37">
        <v>4.2</v>
      </c>
      <c r="B37">
        <v>106</v>
      </c>
      <c r="C37" t="str">
        <f t="shared" si="0"/>
        <v>4.0–4.5</v>
      </c>
    </row>
    <row r="38" spans="1:3">
      <c r="A38">
        <v>3.5</v>
      </c>
      <c r="B38">
        <v>107</v>
      </c>
      <c r="C38" t="str">
        <f t="shared" si="0"/>
        <v>3.5–4.0</v>
      </c>
    </row>
    <row r="39" spans="1:3">
      <c r="A39">
        <v>4.7</v>
      </c>
      <c r="B39">
        <v>110</v>
      </c>
      <c r="C39" t="str">
        <f t="shared" si="0"/>
        <v>4.5+</v>
      </c>
    </row>
    <row r="40" spans="1:3">
      <c r="A40">
        <v>3.5</v>
      </c>
      <c r="B40">
        <v>147.5</v>
      </c>
      <c r="C40" t="str">
        <f t="shared" si="0"/>
        <v>3.5–4.0</v>
      </c>
    </row>
    <row r="41" spans="1:3">
      <c r="A41">
        <v>3.5</v>
      </c>
      <c r="B41">
        <v>106</v>
      </c>
      <c r="C41" t="str">
        <f t="shared" si="0"/>
        <v>3.5–4.0</v>
      </c>
    </row>
    <row r="42" spans="1:3">
      <c r="A42">
        <v>4.2</v>
      </c>
      <c r="B42">
        <v>88</v>
      </c>
      <c r="C42" t="str">
        <f t="shared" si="0"/>
        <v>4.0–4.5</v>
      </c>
    </row>
    <row r="43" spans="1:3">
      <c r="A43">
        <v>3.6</v>
      </c>
      <c r="B43">
        <v>98.5</v>
      </c>
      <c r="C43" t="str">
        <f t="shared" si="0"/>
        <v>3.5–4.0</v>
      </c>
    </row>
    <row r="44" spans="1:3">
      <c r="A44">
        <v>4.2</v>
      </c>
      <c r="B44">
        <v>142.5</v>
      </c>
      <c r="C44" t="str">
        <f t="shared" si="0"/>
        <v>4.0–4.5</v>
      </c>
    </row>
    <row r="45" spans="1:3">
      <c r="A45">
        <v>3.4</v>
      </c>
      <c r="B45">
        <v>82.5</v>
      </c>
      <c r="C45" t="str">
        <f t="shared" si="0"/>
        <v>3.0–3.5</v>
      </c>
    </row>
    <row r="46" spans="1:3">
      <c r="A46">
        <v>4.3</v>
      </c>
      <c r="B46">
        <v>130</v>
      </c>
      <c r="C46" t="str">
        <f t="shared" si="0"/>
        <v>4.0–4.5</v>
      </c>
    </row>
    <row r="47" spans="1:3">
      <c r="A47">
        <v>5</v>
      </c>
      <c r="B47">
        <v>155</v>
      </c>
      <c r="C47" t="str">
        <f t="shared" si="0"/>
        <v>4.5+</v>
      </c>
    </row>
    <row r="48" spans="1:3">
      <c r="A48">
        <v>3.7</v>
      </c>
      <c r="B48">
        <v>184.5</v>
      </c>
      <c r="C48" t="str">
        <f t="shared" si="0"/>
        <v>3.5–4.0</v>
      </c>
    </row>
    <row r="49" spans="1:3">
      <c r="A49">
        <v>3.1</v>
      </c>
      <c r="B49">
        <v>29.5</v>
      </c>
      <c r="C49" t="str">
        <f t="shared" si="0"/>
        <v>3.0–3.5</v>
      </c>
    </row>
    <row r="50" spans="1:3">
      <c r="A50">
        <v>4.7</v>
      </c>
      <c r="B50">
        <v>86.5</v>
      </c>
      <c r="C50" t="str">
        <f t="shared" si="0"/>
        <v>4.5+</v>
      </c>
    </row>
    <row r="51" spans="1:3">
      <c r="A51">
        <v>3.7</v>
      </c>
      <c r="B51">
        <v>81</v>
      </c>
      <c r="C51" t="str">
        <f t="shared" si="0"/>
        <v>3.5–4.0</v>
      </c>
    </row>
    <row r="52" spans="1:3">
      <c r="A52">
        <v>3.8</v>
      </c>
      <c r="B52">
        <v>91</v>
      </c>
      <c r="C52" t="str">
        <f t="shared" si="0"/>
        <v>3.5–4.0</v>
      </c>
    </row>
    <row r="53" spans="1:3">
      <c r="A53">
        <v>3.3</v>
      </c>
      <c r="B53">
        <v>114.5</v>
      </c>
      <c r="C53" t="str">
        <f t="shared" si="0"/>
        <v>3.0–3.5</v>
      </c>
    </row>
    <row r="54" spans="1:3">
      <c r="A54">
        <v>4.5999999999999996</v>
      </c>
      <c r="B54">
        <v>68</v>
      </c>
      <c r="C54" t="str">
        <f t="shared" si="0"/>
        <v>4.5+</v>
      </c>
    </row>
    <row r="55" spans="1:3">
      <c r="A55">
        <v>3.7</v>
      </c>
      <c r="B55">
        <v>115</v>
      </c>
      <c r="C55" t="str">
        <f t="shared" si="0"/>
        <v>3.5–4.0</v>
      </c>
    </row>
    <row r="56" spans="1:3">
      <c r="A56">
        <v>3.7</v>
      </c>
      <c r="B56">
        <v>109.5</v>
      </c>
      <c r="C56" t="str">
        <f t="shared" si="0"/>
        <v>3.5–4.0</v>
      </c>
    </row>
    <row r="57" spans="1:3">
      <c r="A57">
        <v>3.5</v>
      </c>
      <c r="B57">
        <v>75.5</v>
      </c>
      <c r="C57" t="str">
        <f t="shared" si="0"/>
        <v>3.5–4.0</v>
      </c>
    </row>
    <row r="58" spans="1:3">
      <c r="A58">
        <v>4.0999999999999996</v>
      </c>
      <c r="B58">
        <v>154.5</v>
      </c>
      <c r="C58" t="str">
        <f t="shared" si="0"/>
        <v>4.0–4.5</v>
      </c>
    </row>
    <row r="59" spans="1:3">
      <c r="A59">
        <v>4.7</v>
      </c>
      <c r="B59">
        <v>143.5</v>
      </c>
      <c r="C59" t="str">
        <f t="shared" si="0"/>
        <v>4.5+</v>
      </c>
    </row>
    <row r="60" spans="1:3">
      <c r="A60">
        <v>4.0999999999999996</v>
      </c>
      <c r="B60">
        <v>73.5</v>
      </c>
      <c r="C60" t="str">
        <f t="shared" si="0"/>
        <v>4.0–4.5</v>
      </c>
    </row>
    <row r="61" spans="1:3">
      <c r="A61">
        <v>3.4</v>
      </c>
      <c r="B61">
        <v>95</v>
      </c>
      <c r="C61" t="str">
        <f t="shared" si="0"/>
        <v>3.0–3.5</v>
      </c>
    </row>
    <row r="62" spans="1:3">
      <c r="A62">
        <v>4.4000000000000004</v>
      </c>
      <c r="B62">
        <v>107</v>
      </c>
      <c r="C62" t="str">
        <f t="shared" si="0"/>
        <v>4.0–4.5</v>
      </c>
    </row>
    <row r="63" spans="1:3">
      <c r="A63">
        <v>4.3</v>
      </c>
      <c r="B63">
        <v>115</v>
      </c>
      <c r="C63" t="str">
        <f t="shared" si="0"/>
        <v>4.0–4.5</v>
      </c>
    </row>
    <row r="64" spans="1:3">
      <c r="A64">
        <v>3.8</v>
      </c>
      <c r="B64">
        <v>139.5</v>
      </c>
      <c r="C64" t="str">
        <f t="shared" si="0"/>
        <v>3.5–4.0</v>
      </c>
    </row>
    <row r="65" spans="1:3">
      <c r="A65">
        <v>3.8</v>
      </c>
      <c r="B65">
        <v>67</v>
      </c>
      <c r="C65" t="str">
        <f t="shared" si="0"/>
        <v>3.5–4.0</v>
      </c>
    </row>
    <row r="66" spans="1:3">
      <c r="A66">
        <v>3.8</v>
      </c>
      <c r="B66">
        <v>85</v>
      </c>
      <c r="C66" t="str">
        <f t="shared" si="0"/>
        <v>3.5–4.0</v>
      </c>
    </row>
    <row r="67" spans="1:3">
      <c r="A67">
        <v>2.8</v>
      </c>
      <c r="B67">
        <v>118</v>
      </c>
      <c r="C67" t="str">
        <f t="shared" ref="C67:C130" si="1">IF(A67&lt;3,"Under 3.0",IF(A67&lt;3.5,"3.0–3.5",IF(A67&lt;4,"3.5–4.0",IF(A67&lt;4.5,"4.0–4.5","4.5+"))))</f>
        <v>Under 3.0</v>
      </c>
    </row>
    <row r="68" spans="1:3">
      <c r="A68">
        <v>4.7</v>
      </c>
      <c r="B68">
        <v>79.5</v>
      </c>
      <c r="C68" t="str">
        <f t="shared" si="1"/>
        <v>4.5+</v>
      </c>
    </row>
    <row r="69" spans="1:3">
      <c r="A69">
        <v>3.1</v>
      </c>
      <c r="B69">
        <v>56.5</v>
      </c>
      <c r="C69" t="str">
        <f t="shared" si="1"/>
        <v>3.0–3.5</v>
      </c>
    </row>
    <row r="70" spans="1:3">
      <c r="A70">
        <v>3.2</v>
      </c>
      <c r="B70">
        <v>128.5</v>
      </c>
      <c r="C70" t="str">
        <f t="shared" si="1"/>
        <v>3.0–3.5</v>
      </c>
    </row>
    <row r="71" spans="1:3">
      <c r="A71">
        <v>4</v>
      </c>
      <c r="B71">
        <v>97.5</v>
      </c>
      <c r="C71" t="str">
        <f t="shared" si="1"/>
        <v>4.0–4.5</v>
      </c>
    </row>
    <row r="72" spans="1:3">
      <c r="A72">
        <v>4.4000000000000004</v>
      </c>
      <c r="B72">
        <v>66.5</v>
      </c>
      <c r="C72" t="str">
        <f t="shared" si="1"/>
        <v>4.0–4.5</v>
      </c>
    </row>
    <row r="73" spans="1:3">
      <c r="A73">
        <v>3.6</v>
      </c>
      <c r="B73">
        <v>179.5</v>
      </c>
      <c r="C73" t="str">
        <f t="shared" si="1"/>
        <v>3.5–4.0</v>
      </c>
    </row>
    <row r="74" spans="1:3">
      <c r="A74">
        <v>2.7</v>
      </c>
      <c r="B74">
        <v>76</v>
      </c>
      <c r="C74" t="str">
        <f t="shared" si="1"/>
        <v>Under 3.0</v>
      </c>
    </row>
    <row r="75" spans="1:3">
      <c r="A75">
        <v>3.9</v>
      </c>
      <c r="B75">
        <v>112</v>
      </c>
      <c r="C75" t="str">
        <f t="shared" si="1"/>
        <v>3.5–4.0</v>
      </c>
    </row>
    <row r="76" spans="1:3">
      <c r="A76">
        <v>3.1</v>
      </c>
      <c r="B76">
        <v>98</v>
      </c>
      <c r="C76" t="str">
        <f t="shared" si="1"/>
        <v>3.0–3.5</v>
      </c>
    </row>
    <row r="77" spans="1:3">
      <c r="A77">
        <v>4</v>
      </c>
      <c r="B77">
        <v>128</v>
      </c>
      <c r="C77" t="str">
        <f t="shared" si="1"/>
        <v>4.0–4.5</v>
      </c>
    </row>
    <row r="78" spans="1:3">
      <c r="A78">
        <v>4.3</v>
      </c>
      <c r="B78">
        <v>150.5</v>
      </c>
      <c r="C78" t="str">
        <f t="shared" si="1"/>
        <v>4.0–4.5</v>
      </c>
    </row>
    <row r="79" spans="1:3">
      <c r="A79">
        <v>1.9</v>
      </c>
      <c r="B79">
        <v>87.5</v>
      </c>
      <c r="C79" t="str">
        <f t="shared" si="1"/>
        <v>Under 3.0</v>
      </c>
    </row>
    <row r="80" spans="1:3">
      <c r="A80">
        <v>3.3</v>
      </c>
      <c r="B80">
        <v>110</v>
      </c>
      <c r="C80" t="str">
        <f t="shared" si="1"/>
        <v>3.0–3.5</v>
      </c>
    </row>
    <row r="81" spans="1:3">
      <c r="A81">
        <v>4.4000000000000004</v>
      </c>
      <c r="B81">
        <v>113.5</v>
      </c>
      <c r="C81" t="str">
        <f t="shared" si="1"/>
        <v>4.0–4.5</v>
      </c>
    </row>
    <row r="82" spans="1:3">
      <c r="A82">
        <v>3.9</v>
      </c>
      <c r="B82">
        <v>124</v>
      </c>
      <c r="C82" t="str">
        <f t="shared" si="1"/>
        <v>3.5–4.0</v>
      </c>
    </row>
    <row r="83" spans="1:3">
      <c r="A83">
        <v>4.7</v>
      </c>
      <c r="B83">
        <v>56.5</v>
      </c>
      <c r="C83" t="str">
        <f t="shared" si="1"/>
        <v>4.5+</v>
      </c>
    </row>
    <row r="84" spans="1:3">
      <c r="A84">
        <v>4.5</v>
      </c>
      <c r="B84">
        <v>130</v>
      </c>
      <c r="C84" t="str">
        <f t="shared" si="1"/>
        <v>4.5+</v>
      </c>
    </row>
    <row r="85" spans="1:3">
      <c r="A85">
        <v>4.3</v>
      </c>
      <c r="B85">
        <v>77.5</v>
      </c>
      <c r="C85" t="str">
        <f t="shared" si="1"/>
        <v>4.0–4.5</v>
      </c>
    </row>
    <row r="86" spans="1:3">
      <c r="A86">
        <v>4</v>
      </c>
      <c r="B86">
        <v>87</v>
      </c>
      <c r="C86" t="str">
        <f t="shared" si="1"/>
        <v>4.0–4.5</v>
      </c>
    </row>
    <row r="87" spans="1:3">
      <c r="A87">
        <v>4.4000000000000004</v>
      </c>
      <c r="B87">
        <v>53.5</v>
      </c>
      <c r="C87" t="str">
        <f t="shared" si="1"/>
        <v>4.0–4.5</v>
      </c>
    </row>
    <row r="88" spans="1:3">
      <c r="A88">
        <v>3.2</v>
      </c>
      <c r="B88">
        <v>139</v>
      </c>
      <c r="C88" t="str">
        <f t="shared" si="1"/>
        <v>3.0–3.5</v>
      </c>
    </row>
    <row r="89" spans="1:3">
      <c r="A89">
        <v>3.8</v>
      </c>
      <c r="B89">
        <v>114</v>
      </c>
      <c r="C89" t="str">
        <f t="shared" si="1"/>
        <v>3.5–4.0</v>
      </c>
    </row>
    <row r="90" spans="1:3">
      <c r="A90">
        <v>4.2</v>
      </c>
      <c r="B90">
        <v>85.5</v>
      </c>
      <c r="C90" t="str">
        <f t="shared" si="1"/>
        <v>4.0–4.5</v>
      </c>
    </row>
    <row r="91" spans="1:3">
      <c r="A91">
        <v>4.5</v>
      </c>
      <c r="B91">
        <v>48</v>
      </c>
      <c r="C91" t="str">
        <f t="shared" si="1"/>
        <v>4.5+</v>
      </c>
    </row>
    <row r="92" spans="1:3">
      <c r="A92">
        <v>3.5</v>
      </c>
      <c r="B92">
        <v>48</v>
      </c>
      <c r="C92" t="str">
        <f t="shared" si="1"/>
        <v>3.5–4.0</v>
      </c>
    </row>
    <row r="93" spans="1:3">
      <c r="A93">
        <v>3.5</v>
      </c>
      <c r="B93">
        <v>174</v>
      </c>
      <c r="C93" t="str">
        <f t="shared" si="1"/>
        <v>3.5–4.0</v>
      </c>
    </row>
    <row r="94" spans="1:3">
      <c r="A94">
        <v>3.9</v>
      </c>
      <c r="B94">
        <v>85</v>
      </c>
      <c r="C94" t="str">
        <f t="shared" si="1"/>
        <v>3.5–4.0</v>
      </c>
    </row>
    <row r="95" spans="1:3">
      <c r="A95">
        <v>4.7</v>
      </c>
      <c r="B95">
        <v>106.5</v>
      </c>
      <c r="C95" t="str">
        <f t="shared" si="1"/>
        <v>4.5+</v>
      </c>
    </row>
    <row r="96" spans="1:3">
      <c r="A96">
        <v>4.2</v>
      </c>
      <c r="B96">
        <v>72.5</v>
      </c>
      <c r="C96" t="str">
        <f t="shared" si="1"/>
        <v>4.0–4.5</v>
      </c>
    </row>
    <row r="97" spans="1:3">
      <c r="A97">
        <v>3.4</v>
      </c>
      <c r="B97">
        <v>85.5</v>
      </c>
      <c r="C97" t="str">
        <f t="shared" si="1"/>
        <v>3.0–3.5</v>
      </c>
    </row>
    <row r="98" spans="1:3">
      <c r="A98">
        <v>3.2</v>
      </c>
      <c r="B98">
        <v>97.5</v>
      </c>
      <c r="C98" t="str">
        <f t="shared" si="1"/>
        <v>3.0–3.5</v>
      </c>
    </row>
    <row r="99" spans="1:3">
      <c r="A99">
        <v>3.9</v>
      </c>
      <c r="B99">
        <v>99</v>
      </c>
      <c r="C99" t="str">
        <f t="shared" si="1"/>
        <v>3.5–4.0</v>
      </c>
    </row>
    <row r="100" spans="1:3">
      <c r="A100">
        <v>3.1</v>
      </c>
      <c r="B100">
        <v>56.5</v>
      </c>
      <c r="C100" t="str">
        <f t="shared" si="1"/>
        <v>3.0–3.5</v>
      </c>
    </row>
    <row r="101" spans="1:3">
      <c r="A101">
        <v>4.0999999999999996</v>
      </c>
      <c r="B101">
        <v>133</v>
      </c>
      <c r="C101" t="str">
        <f t="shared" si="1"/>
        <v>4.0–4.5</v>
      </c>
    </row>
    <row r="102" spans="1:3">
      <c r="A102">
        <v>3.8</v>
      </c>
      <c r="B102">
        <v>121</v>
      </c>
      <c r="C102" t="str">
        <f t="shared" si="1"/>
        <v>3.5–4.0</v>
      </c>
    </row>
    <row r="103" spans="1:3">
      <c r="A103">
        <v>4.7</v>
      </c>
      <c r="B103">
        <v>85.5</v>
      </c>
      <c r="C103" t="str">
        <f t="shared" si="1"/>
        <v>4.5+</v>
      </c>
    </row>
    <row r="104" spans="1:3">
      <c r="A104">
        <v>4.3</v>
      </c>
      <c r="B104">
        <v>87.5</v>
      </c>
      <c r="C104" t="str">
        <f t="shared" si="1"/>
        <v>4.0–4.5</v>
      </c>
    </row>
    <row r="105" spans="1:3">
      <c r="A105">
        <v>4.2</v>
      </c>
      <c r="B105">
        <v>237.5</v>
      </c>
      <c r="C105" t="str">
        <f t="shared" si="1"/>
        <v>4.0–4.5</v>
      </c>
    </row>
    <row r="106" spans="1:3">
      <c r="A106">
        <v>3.9</v>
      </c>
      <c r="B106">
        <v>95.5</v>
      </c>
      <c r="C106" t="str">
        <f t="shared" si="1"/>
        <v>3.5–4.0</v>
      </c>
    </row>
    <row r="107" spans="1:3">
      <c r="A107">
        <v>3.3</v>
      </c>
      <c r="B107">
        <v>104.5</v>
      </c>
      <c r="C107" t="str">
        <f t="shared" si="1"/>
        <v>3.0–3.5</v>
      </c>
    </row>
    <row r="108" spans="1:3">
      <c r="A108">
        <v>4.7</v>
      </c>
      <c r="B108">
        <v>56.5</v>
      </c>
      <c r="C108" t="str">
        <f t="shared" si="1"/>
        <v>4.5+</v>
      </c>
    </row>
    <row r="109" spans="1:3">
      <c r="A109">
        <v>4.3</v>
      </c>
      <c r="B109">
        <v>55</v>
      </c>
      <c r="C109" t="str">
        <f t="shared" si="1"/>
        <v>4.0–4.5</v>
      </c>
    </row>
    <row r="110" spans="1:3">
      <c r="A110">
        <v>2.9</v>
      </c>
      <c r="B110">
        <v>61.5</v>
      </c>
      <c r="C110" t="str">
        <f t="shared" si="1"/>
        <v>Under 3.0</v>
      </c>
    </row>
    <row r="111" spans="1:3">
      <c r="A111">
        <v>4.5</v>
      </c>
      <c r="B111">
        <v>157</v>
      </c>
      <c r="C111" t="str">
        <f t="shared" si="1"/>
        <v>4.5+</v>
      </c>
    </row>
    <row r="112" spans="1:3">
      <c r="A112">
        <v>3.4</v>
      </c>
      <c r="B112">
        <v>78</v>
      </c>
      <c r="C112" t="str">
        <f t="shared" si="1"/>
        <v>3.0–3.5</v>
      </c>
    </row>
    <row r="113" spans="1:3">
      <c r="A113">
        <v>3.7</v>
      </c>
      <c r="B113">
        <v>113.5</v>
      </c>
      <c r="C113" t="str">
        <f t="shared" si="1"/>
        <v>3.5–4.0</v>
      </c>
    </row>
    <row r="114" spans="1:3">
      <c r="A114">
        <v>4.5999999999999996</v>
      </c>
      <c r="B114">
        <v>140</v>
      </c>
      <c r="C114" t="str">
        <f t="shared" si="1"/>
        <v>4.5+</v>
      </c>
    </row>
    <row r="115" spans="1:3">
      <c r="A115">
        <v>3.2</v>
      </c>
      <c r="B115">
        <v>132.5</v>
      </c>
      <c r="C115" t="str">
        <f t="shared" si="1"/>
        <v>3.0–3.5</v>
      </c>
    </row>
    <row r="116" spans="1:3">
      <c r="A116">
        <v>4</v>
      </c>
      <c r="B116">
        <v>108</v>
      </c>
      <c r="C116" t="str">
        <f t="shared" si="1"/>
        <v>4.0–4.5</v>
      </c>
    </row>
    <row r="117" spans="1:3">
      <c r="A117">
        <v>4.5999999999999996</v>
      </c>
      <c r="B117">
        <v>80.5</v>
      </c>
      <c r="C117" t="str">
        <f t="shared" si="1"/>
        <v>4.5+</v>
      </c>
    </row>
    <row r="118" spans="1:3">
      <c r="A118">
        <v>2.8</v>
      </c>
      <c r="B118">
        <v>107.5</v>
      </c>
      <c r="C118" t="str">
        <f t="shared" si="1"/>
        <v>Under 3.0</v>
      </c>
    </row>
    <row r="119" spans="1:3">
      <c r="A119">
        <v>4.7</v>
      </c>
      <c r="B119">
        <v>95</v>
      </c>
      <c r="C119" t="str">
        <f t="shared" si="1"/>
        <v>4.5+</v>
      </c>
    </row>
    <row r="120" spans="1:3">
      <c r="A120">
        <v>3</v>
      </c>
      <c r="B120">
        <v>119.5</v>
      </c>
      <c r="C120" t="str">
        <f t="shared" si="1"/>
        <v>3.0–3.5</v>
      </c>
    </row>
    <row r="121" spans="1:3">
      <c r="A121">
        <v>3.2</v>
      </c>
      <c r="B121">
        <v>134</v>
      </c>
      <c r="C121" t="str">
        <f t="shared" si="1"/>
        <v>3.0–3.5</v>
      </c>
    </row>
    <row r="122" spans="1:3">
      <c r="A122">
        <v>4.4000000000000004</v>
      </c>
      <c r="B122">
        <v>100.5</v>
      </c>
      <c r="C122" t="str">
        <f t="shared" si="1"/>
        <v>4.0–4.5</v>
      </c>
    </row>
    <row r="123" spans="1:3">
      <c r="A123">
        <v>3.5</v>
      </c>
      <c r="B123">
        <v>107.5</v>
      </c>
      <c r="C123" t="str">
        <f t="shared" si="1"/>
        <v>3.5–4.0</v>
      </c>
    </row>
    <row r="124" spans="1:3">
      <c r="A124">
        <v>4</v>
      </c>
      <c r="B124">
        <v>122</v>
      </c>
      <c r="C124" t="str">
        <f t="shared" si="1"/>
        <v>4.0–4.5</v>
      </c>
    </row>
    <row r="125" spans="1:3">
      <c r="A125">
        <v>4.3</v>
      </c>
      <c r="B125">
        <v>92.5</v>
      </c>
      <c r="C125" t="str">
        <f t="shared" si="1"/>
        <v>4.0–4.5</v>
      </c>
    </row>
    <row r="126" spans="1:3">
      <c r="A126">
        <v>2.2999999999999998</v>
      </c>
      <c r="B126">
        <v>62</v>
      </c>
      <c r="C126" t="str">
        <f t="shared" si="1"/>
        <v>Under 3.0</v>
      </c>
    </row>
    <row r="127" spans="1:3">
      <c r="A127">
        <v>4</v>
      </c>
      <c r="B127">
        <v>39.5</v>
      </c>
      <c r="C127" t="str">
        <f t="shared" si="1"/>
        <v>4.0–4.5</v>
      </c>
    </row>
    <row r="128" spans="1:3">
      <c r="A128">
        <v>3.6</v>
      </c>
      <c r="B128">
        <v>107.5</v>
      </c>
      <c r="C128" t="str">
        <f t="shared" si="1"/>
        <v>3.5–4.0</v>
      </c>
    </row>
    <row r="129" spans="1:3">
      <c r="A129">
        <v>3.8</v>
      </c>
      <c r="B129">
        <v>40.5</v>
      </c>
      <c r="C129" t="str">
        <f t="shared" si="1"/>
        <v>3.5–4.0</v>
      </c>
    </row>
    <row r="130" spans="1:3">
      <c r="A130">
        <v>3.7</v>
      </c>
      <c r="B130">
        <v>89.5</v>
      </c>
      <c r="C130" t="str">
        <f t="shared" si="1"/>
        <v>3.5–4.0</v>
      </c>
    </row>
    <row r="131" spans="1:3">
      <c r="A131">
        <v>4.4000000000000004</v>
      </c>
      <c r="B131">
        <v>81</v>
      </c>
      <c r="C131" t="str">
        <f t="shared" ref="C131:C177" si="2">IF(A131&lt;3,"Under 3.0",IF(A131&lt;3.5,"3.0–3.5",IF(A131&lt;4,"3.5–4.0",IF(A131&lt;4.5,"4.0–4.5","4.5+"))))</f>
        <v>4.0–4.5</v>
      </c>
    </row>
    <row r="132" spans="1:3">
      <c r="A132">
        <v>4</v>
      </c>
      <c r="B132">
        <v>147</v>
      </c>
      <c r="C132" t="str">
        <f t="shared" si="2"/>
        <v>4.0–4.5</v>
      </c>
    </row>
    <row r="133" spans="1:3">
      <c r="A133">
        <v>3.2</v>
      </c>
      <c r="B133">
        <v>85</v>
      </c>
      <c r="C133" t="str">
        <f t="shared" si="2"/>
        <v>3.0–3.5</v>
      </c>
    </row>
    <row r="134" spans="1:3">
      <c r="A134">
        <v>2.9</v>
      </c>
      <c r="B134">
        <v>81.5</v>
      </c>
      <c r="C134" t="str">
        <f t="shared" si="2"/>
        <v>Under 3.0</v>
      </c>
    </row>
    <row r="135" spans="1:3">
      <c r="A135">
        <v>3.8</v>
      </c>
      <c r="B135">
        <v>168</v>
      </c>
      <c r="C135" t="str">
        <f t="shared" si="2"/>
        <v>3.5–4.0</v>
      </c>
    </row>
    <row r="136" spans="1:3">
      <c r="A136">
        <v>4.3</v>
      </c>
      <c r="B136">
        <v>100.5</v>
      </c>
      <c r="C136" t="str">
        <f t="shared" si="2"/>
        <v>4.0–4.5</v>
      </c>
    </row>
    <row r="137" spans="1:3">
      <c r="A137">
        <v>3.4</v>
      </c>
      <c r="B137">
        <v>97</v>
      </c>
      <c r="C137" t="str">
        <f t="shared" si="2"/>
        <v>3.0–3.5</v>
      </c>
    </row>
    <row r="138" spans="1:3">
      <c r="A138">
        <v>4.0999999999999996</v>
      </c>
      <c r="B138">
        <v>85</v>
      </c>
      <c r="C138" t="str">
        <f t="shared" si="2"/>
        <v>4.0–4.5</v>
      </c>
    </row>
    <row r="139" spans="1:3">
      <c r="A139">
        <v>4.3</v>
      </c>
      <c r="B139">
        <v>153.5</v>
      </c>
      <c r="C139" t="str">
        <f t="shared" si="2"/>
        <v>4.0–4.5</v>
      </c>
    </row>
    <row r="140" spans="1:3">
      <c r="A140">
        <v>5</v>
      </c>
      <c r="B140">
        <v>132.5</v>
      </c>
      <c r="C140" t="str">
        <f t="shared" si="2"/>
        <v>4.5+</v>
      </c>
    </row>
    <row r="141" spans="1:3">
      <c r="A141">
        <v>4.3</v>
      </c>
      <c r="B141">
        <v>100</v>
      </c>
      <c r="C141" t="str">
        <f t="shared" si="2"/>
        <v>4.0–4.5</v>
      </c>
    </row>
    <row r="142" spans="1:3">
      <c r="A142">
        <v>3.7</v>
      </c>
      <c r="B142">
        <v>105</v>
      </c>
      <c r="C142" t="str">
        <f t="shared" si="2"/>
        <v>3.5–4.0</v>
      </c>
    </row>
    <row r="143" spans="1:3">
      <c r="A143">
        <v>4.2</v>
      </c>
      <c r="B143">
        <v>87</v>
      </c>
      <c r="C143" t="str">
        <f t="shared" si="2"/>
        <v>4.0–4.5</v>
      </c>
    </row>
    <row r="144" spans="1:3">
      <c r="A144">
        <v>4.3</v>
      </c>
      <c r="B144">
        <v>103.5</v>
      </c>
      <c r="C144" t="str">
        <f t="shared" si="2"/>
        <v>4.0–4.5</v>
      </c>
    </row>
    <row r="145" spans="1:3">
      <c r="A145">
        <v>2.6</v>
      </c>
      <c r="B145">
        <v>124</v>
      </c>
      <c r="C145" t="str">
        <f t="shared" si="2"/>
        <v>Under 3.0</v>
      </c>
    </row>
    <row r="146" spans="1:3">
      <c r="A146">
        <v>3.8</v>
      </c>
      <c r="B146">
        <v>67</v>
      </c>
      <c r="C146" t="str">
        <f t="shared" si="2"/>
        <v>3.5–4.0</v>
      </c>
    </row>
    <row r="147" spans="1:3">
      <c r="A147">
        <v>3.9</v>
      </c>
      <c r="B147">
        <v>87</v>
      </c>
      <c r="C147" t="str">
        <f t="shared" si="2"/>
        <v>3.5–4.0</v>
      </c>
    </row>
    <row r="148" spans="1:3">
      <c r="A148">
        <v>4.3</v>
      </c>
      <c r="B148">
        <v>137.5</v>
      </c>
      <c r="C148" t="str">
        <f t="shared" si="2"/>
        <v>4.0–4.5</v>
      </c>
    </row>
    <row r="149" spans="1:3">
      <c r="A149">
        <v>3.8</v>
      </c>
      <c r="B149">
        <v>100</v>
      </c>
      <c r="C149" t="str">
        <f t="shared" si="2"/>
        <v>3.5–4.0</v>
      </c>
    </row>
    <row r="150" spans="1:3">
      <c r="A150">
        <v>3.8</v>
      </c>
      <c r="B150">
        <v>106.5</v>
      </c>
      <c r="C150" t="str">
        <f t="shared" si="2"/>
        <v>3.5–4.0</v>
      </c>
    </row>
    <row r="151" spans="1:3">
      <c r="A151">
        <v>3.8</v>
      </c>
      <c r="B151">
        <v>98.5</v>
      </c>
      <c r="C151" t="str">
        <f t="shared" si="2"/>
        <v>3.5–4.0</v>
      </c>
    </row>
    <row r="152" spans="1:3">
      <c r="A152">
        <v>4.8</v>
      </c>
      <c r="B152">
        <v>61</v>
      </c>
      <c r="C152" t="str">
        <f t="shared" si="2"/>
        <v>4.5+</v>
      </c>
    </row>
    <row r="153" spans="1:3">
      <c r="A153">
        <v>4.4000000000000004</v>
      </c>
      <c r="B153">
        <v>106.5</v>
      </c>
      <c r="C153" t="str">
        <f t="shared" si="2"/>
        <v>4.0–4.5</v>
      </c>
    </row>
    <row r="154" spans="1:3">
      <c r="A154">
        <v>3.9</v>
      </c>
      <c r="B154">
        <v>84.5</v>
      </c>
      <c r="C154" t="str">
        <f t="shared" si="2"/>
        <v>3.5–4.0</v>
      </c>
    </row>
    <row r="155" spans="1:3">
      <c r="A155">
        <v>3.4</v>
      </c>
      <c r="B155">
        <v>109.5</v>
      </c>
      <c r="C155" t="str">
        <f t="shared" si="2"/>
        <v>3.0–3.5</v>
      </c>
    </row>
    <row r="156" spans="1:3">
      <c r="A156">
        <v>3.6</v>
      </c>
      <c r="B156">
        <v>164</v>
      </c>
      <c r="C156" t="str">
        <f t="shared" si="2"/>
        <v>3.5–4.0</v>
      </c>
    </row>
    <row r="157" spans="1:3">
      <c r="A157">
        <v>3.9</v>
      </c>
      <c r="B157">
        <v>169</v>
      </c>
      <c r="C157" t="str">
        <f t="shared" si="2"/>
        <v>3.5–4.0</v>
      </c>
    </row>
    <row r="158" spans="1:3">
      <c r="A158">
        <v>3.8</v>
      </c>
      <c r="B158">
        <v>142</v>
      </c>
      <c r="C158" t="str">
        <f t="shared" si="2"/>
        <v>3.5–4.0</v>
      </c>
    </row>
    <row r="159" spans="1:3">
      <c r="A159">
        <v>3.7</v>
      </c>
      <c r="B159">
        <v>76.5</v>
      </c>
      <c r="C159" t="str">
        <f t="shared" si="2"/>
        <v>3.5–4.0</v>
      </c>
    </row>
    <row r="160" spans="1:3">
      <c r="A160">
        <v>3.8</v>
      </c>
      <c r="B160">
        <v>107</v>
      </c>
      <c r="C160" t="str">
        <f t="shared" si="2"/>
        <v>3.5–4.0</v>
      </c>
    </row>
    <row r="161" spans="1:3">
      <c r="A161">
        <v>3.5</v>
      </c>
      <c r="B161">
        <v>171.5</v>
      </c>
      <c r="C161" t="str">
        <f t="shared" si="2"/>
        <v>3.5–4.0</v>
      </c>
    </row>
    <row r="162" spans="1:3">
      <c r="A162">
        <v>3.9</v>
      </c>
      <c r="B162">
        <v>96</v>
      </c>
      <c r="C162" t="str">
        <f t="shared" si="2"/>
        <v>3.5–4.0</v>
      </c>
    </row>
    <row r="163" spans="1:3">
      <c r="A163">
        <v>4.2</v>
      </c>
      <c r="B163">
        <v>142.5</v>
      </c>
      <c r="C163" t="str">
        <f t="shared" si="2"/>
        <v>4.0–4.5</v>
      </c>
    </row>
    <row r="164" spans="1:3">
      <c r="A164">
        <v>4.2</v>
      </c>
      <c r="B164">
        <v>107</v>
      </c>
      <c r="C164" t="str">
        <f t="shared" si="2"/>
        <v>4.0–4.5</v>
      </c>
    </row>
    <row r="165" spans="1:3">
      <c r="A165">
        <v>3.5</v>
      </c>
      <c r="B165">
        <v>145</v>
      </c>
      <c r="C165" t="str">
        <f t="shared" si="2"/>
        <v>3.5–4.0</v>
      </c>
    </row>
    <row r="166" spans="1:3">
      <c r="A166">
        <v>2.9</v>
      </c>
      <c r="B166">
        <v>61.5</v>
      </c>
      <c r="C166" t="str">
        <f t="shared" si="2"/>
        <v>Under 3.0</v>
      </c>
    </row>
    <row r="167" spans="1:3">
      <c r="A167">
        <v>3.6</v>
      </c>
      <c r="B167">
        <v>42</v>
      </c>
      <c r="C167" t="str">
        <f t="shared" si="2"/>
        <v>3.5–4.0</v>
      </c>
    </row>
    <row r="168" spans="1:3">
      <c r="A168">
        <v>2.7</v>
      </c>
      <c r="B168">
        <v>120</v>
      </c>
      <c r="C168" t="str">
        <f t="shared" si="2"/>
        <v>Under 3.0</v>
      </c>
    </row>
    <row r="169" spans="1:3">
      <c r="A169">
        <v>4.4000000000000004</v>
      </c>
      <c r="B169">
        <v>62</v>
      </c>
      <c r="C169" t="str">
        <f t="shared" si="2"/>
        <v>4.0–4.5</v>
      </c>
    </row>
    <row r="170" spans="1:3">
      <c r="A170">
        <v>4</v>
      </c>
      <c r="B170">
        <v>150.5</v>
      </c>
      <c r="C170" t="str">
        <f t="shared" si="2"/>
        <v>4.0–4.5</v>
      </c>
    </row>
    <row r="171" spans="1:3">
      <c r="A171">
        <v>4.3</v>
      </c>
      <c r="B171">
        <v>87.5</v>
      </c>
      <c r="C171" t="str">
        <f t="shared" si="2"/>
        <v>4.0–4.5</v>
      </c>
    </row>
    <row r="172" spans="1:3">
      <c r="A172">
        <v>4.2</v>
      </c>
      <c r="B172">
        <v>71.5</v>
      </c>
      <c r="C172" t="str">
        <f t="shared" si="2"/>
        <v>4.0–4.5</v>
      </c>
    </row>
    <row r="173" spans="1:3">
      <c r="A173">
        <v>3.6</v>
      </c>
      <c r="B173">
        <v>51.5</v>
      </c>
      <c r="C173" t="str">
        <f t="shared" si="2"/>
        <v>3.5–4.0</v>
      </c>
    </row>
    <row r="174" spans="1:3">
      <c r="A174">
        <v>3.7</v>
      </c>
      <c r="B174">
        <v>151.5</v>
      </c>
      <c r="C174" t="str">
        <f t="shared" si="2"/>
        <v>3.5–4.0</v>
      </c>
    </row>
    <row r="175" spans="1:3">
      <c r="A175">
        <v>2.8</v>
      </c>
      <c r="B175">
        <v>77.5</v>
      </c>
      <c r="C175" t="str">
        <f t="shared" si="2"/>
        <v>Under 3.0</v>
      </c>
    </row>
    <row r="176" spans="1:3">
      <c r="A176">
        <v>3.7</v>
      </c>
      <c r="B176">
        <v>140</v>
      </c>
      <c r="C176" t="str">
        <f t="shared" si="2"/>
        <v>3.5–4.0</v>
      </c>
    </row>
    <row r="177" spans="1:3">
      <c r="A177">
        <v>3.3</v>
      </c>
      <c r="B177">
        <v>98.5</v>
      </c>
      <c r="C177" t="str">
        <f t="shared" si="2"/>
        <v>3.0–3.5</v>
      </c>
    </row>
    <row r="178" spans="1:3" hidden="1">
      <c r="A178">
        <v>-1</v>
      </c>
      <c r="B178">
        <v>225</v>
      </c>
    </row>
    <row r="179" spans="1:3">
      <c r="A179">
        <v>3.6</v>
      </c>
      <c r="B179">
        <v>56.5</v>
      </c>
      <c r="C179" t="str">
        <f t="shared" ref="C179:C242" si="3">IF(A179&lt;3,"Under 3.0",IF(A179&lt;3.5,"3.0–3.5",IF(A179&lt;4,"3.5–4.0",IF(A179&lt;4.5,"4.0–4.5","4.5+"))))</f>
        <v>3.5–4.0</v>
      </c>
    </row>
    <row r="180" spans="1:3">
      <c r="A180">
        <v>3.7</v>
      </c>
      <c r="B180">
        <v>161.5</v>
      </c>
      <c r="C180" t="str">
        <f t="shared" si="3"/>
        <v>3.5–4.0</v>
      </c>
    </row>
    <row r="181" spans="1:3">
      <c r="A181">
        <v>3.4</v>
      </c>
      <c r="B181">
        <v>147</v>
      </c>
      <c r="C181" t="str">
        <f t="shared" si="3"/>
        <v>3.0–3.5</v>
      </c>
    </row>
    <row r="182" spans="1:3">
      <c r="A182">
        <v>4.0999999999999996</v>
      </c>
      <c r="B182">
        <v>61</v>
      </c>
      <c r="C182" t="str">
        <f t="shared" si="3"/>
        <v>4.0–4.5</v>
      </c>
    </row>
    <row r="183" spans="1:3">
      <c r="A183">
        <v>2.6</v>
      </c>
      <c r="B183">
        <v>120</v>
      </c>
      <c r="C183" t="str">
        <f t="shared" si="3"/>
        <v>Under 3.0</v>
      </c>
    </row>
    <row r="184" spans="1:3">
      <c r="A184">
        <v>3.2</v>
      </c>
      <c r="B184">
        <v>124.5</v>
      </c>
      <c r="C184" t="str">
        <f t="shared" si="3"/>
        <v>3.0–3.5</v>
      </c>
    </row>
    <row r="185" spans="1:3">
      <c r="A185">
        <v>3.9</v>
      </c>
      <c r="B185">
        <v>148</v>
      </c>
      <c r="C185" t="str">
        <f t="shared" si="3"/>
        <v>3.5–4.0</v>
      </c>
    </row>
    <row r="186" spans="1:3">
      <c r="A186">
        <v>4.7</v>
      </c>
      <c r="B186">
        <v>59</v>
      </c>
      <c r="C186" t="str">
        <f t="shared" si="3"/>
        <v>4.5+</v>
      </c>
    </row>
    <row r="187" spans="1:3">
      <c r="A187">
        <v>3.7</v>
      </c>
      <c r="B187">
        <v>146.5</v>
      </c>
      <c r="C187" t="str">
        <f t="shared" si="3"/>
        <v>3.5–4.0</v>
      </c>
    </row>
    <row r="188" spans="1:3">
      <c r="A188">
        <v>2.9</v>
      </c>
      <c r="B188">
        <v>91.5</v>
      </c>
      <c r="C188" t="str">
        <f t="shared" si="3"/>
        <v>Under 3.0</v>
      </c>
    </row>
    <row r="189" spans="1:3">
      <c r="A189">
        <v>3</v>
      </c>
      <c r="B189">
        <v>133</v>
      </c>
      <c r="C189" t="str">
        <f t="shared" si="3"/>
        <v>3.0–3.5</v>
      </c>
    </row>
    <row r="190" spans="1:3">
      <c r="A190">
        <v>4.7</v>
      </c>
      <c r="B190">
        <v>140.5</v>
      </c>
      <c r="C190" t="str">
        <f t="shared" si="3"/>
        <v>4.5+</v>
      </c>
    </row>
    <row r="191" spans="1:3">
      <c r="A191">
        <v>3.7</v>
      </c>
      <c r="B191">
        <v>70.5</v>
      </c>
      <c r="C191" t="str">
        <f t="shared" si="3"/>
        <v>3.5–4.0</v>
      </c>
    </row>
    <row r="192" spans="1:3">
      <c r="A192">
        <v>3.3</v>
      </c>
      <c r="B192">
        <v>84.5</v>
      </c>
      <c r="C192" t="str">
        <f t="shared" si="3"/>
        <v>3.0–3.5</v>
      </c>
    </row>
    <row r="193" spans="1:3">
      <c r="A193">
        <v>4</v>
      </c>
      <c r="B193">
        <v>93.5</v>
      </c>
      <c r="C193" t="str">
        <f t="shared" si="3"/>
        <v>4.0–4.5</v>
      </c>
    </row>
    <row r="194" spans="1:3">
      <c r="A194">
        <v>4.4000000000000004</v>
      </c>
      <c r="B194">
        <v>134.5</v>
      </c>
      <c r="C194" t="str">
        <f t="shared" si="3"/>
        <v>4.0–4.5</v>
      </c>
    </row>
    <row r="195" spans="1:3">
      <c r="A195">
        <v>3.9</v>
      </c>
      <c r="B195">
        <v>181</v>
      </c>
      <c r="C195" t="str">
        <f t="shared" si="3"/>
        <v>3.5–4.0</v>
      </c>
    </row>
    <row r="196" spans="1:3">
      <c r="A196">
        <v>3.3</v>
      </c>
      <c r="B196">
        <v>84.5</v>
      </c>
      <c r="C196" t="str">
        <f t="shared" si="3"/>
        <v>3.0–3.5</v>
      </c>
    </row>
    <row r="197" spans="1:3">
      <c r="A197">
        <v>4.0999999999999996</v>
      </c>
      <c r="B197">
        <v>205</v>
      </c>
      <c r="C197" t="str">
        <f t="shared" si="3"/>
        <v>4.0–4.5</v>
      </c>
    </row>
    <row r="198" spans="1:3">
      <c r="A198">
        <v>3.6</v>
      </c>
      <c r="B198">
        <v>48.5</v>
      </c>
      <c r="C198" t="str">
        <f t="shared" si="3"/>
        <v>3.5–4.0</v>
      </c>
    </row>
    <row r="199" spans="1:3">
      <c r="A199">
        <v>4</v>
      </c>
      <c r="B199">
        <v>44.5</v>
      </c>
      <c r="C199" t="str">
        <f t="shared" si="3"/>
        <v>4.0–4.5</v>
      </c>
    </row>
    <row r="200" spans="1:3">
      <c r="A200">
        <v>2.4</v>
      </c>
      <c r="B200">
        <v>52.5</v>
      </c>
      <c r="C200" t="str">
        <f t="shared" si="3"/>
        <v>Under 3.0</v>
      </c>
    </row>
    <row r="201" spans="1:3">
      <c r="A201">
        <v>2.6</v>
      </c>
      <c r="B201">
        <v>124</v>
      </c>
      <c r="C201" t="str">
        <f t="shared" si="3"/>
        <v>Under 3.0</v>
      </c>
    </row>
    <row r="202" spans="1:3">
      <c r="A202">
        <v>3.5</v>
      </c>
      <c r="B202">
        <v>64</v>
      </c>
      <c r="C202" t="str">
        <f t="shared" si="3"/>
        <v>3.5–4.0</v>
      </c>
    </row>
    <row r="203" spans="1:3">
      <c r="A203">
        <v>3</v>
      </c>
      <c r="B203">
        <v>98</v>
      </c>
      <c r="C203" t="str">
        <f t="shared" si="3"/>
        <v>3.0–3.5</v>
      </c>
    </row>
    <row r="204" spans="1:3">
      <c r="A204">
        <v>3.6</v>
      </c>
      <c r="B204">
        <v>56.5</v>
      </c>
      <c r="C204" t="str">
        <f t="shared" si="3"/>
        <v>3.5–4.0</v>
      </c>
    </row>
    <row r="205" spans="1:3">
      <c r="A205">
        <v>3.3</v>
      </c>
      <c r="B205">
        <v>54</v>
      </c>
      <c r="C205" t="str">
        <f t="shared" si="3"/>
        <v>3.0–3.5</v>
      </c>
    </row>
    <row r="206" spans="1:3">
      <c r="A206">
        <v>2.7</v>
      </c>
      <c r="B206">
        <v>81</v>
      </c>
      <c r="C206" t="str">
        <f t="shared" si="3"/>
        <v>Under 3.0</v>
      </c>
    </row>
    <row r="207" spans="1:3">
      <c r="A207">
        <v>3.4</v>
      </c>
      <c r="B207">
        <v>107.5</v>
      </c>
      <c r="C207" t="str">
        <f t="shared" si="3"/>
        <v>3.0–3.5</v>
      </c>
    </row>
    <row r="208" spans="1:3">
      <c r="A208">
        <v>3.8</v>
      </c>
      <c r="B208">
        <v>112.5</v>
      </c>
      <c r="C208" t="str">
        <f t="shared" si="3"/>
        <v>3.5–4.0</v>
      </c>
    </row>
    <row r="209" spans="1:3">
      <c r="A209">
        <v>3.7</v>
      </c>
      <c r="B209">
        <v>89</v>
      </c>
      <c r="C209" t="str">
        <f t="shared" si="3"/>
        <v>3.5–4.0</v>
      </c>
    </row>
    <row r="210" spans="1:3">
      <c r="A210">
        <v>4.8</v>
      </c>
      <c r="B210">
        <v>100.5</v>
      </c>
      <c r="C210" t="str">
        <f t="shared" si="3"/>
        <v>4.5+</v>
      </c>
    </row>
    <row r="211" spans="1:3">
      <c r="A211">
        <v>3.8</v>
      </c>
      <c r="B211">
        <v>65</v>
      </c>
      <c r="C211" t="str">
        <f t="shared" si="3"/>
        <v>3.5–4.0</v>
      </c>
    </row>
    <row r="212" spans="1:3">
      <c r="A212">
        <v>3.4</v>
      </c>
      <c r="B212">
        <v>41.5</v>
      </c>
      <c r="C212" t="str">
        <f t="shared" si="3"/>
        <v>3.0–3.5</v>
      </c>
    </row>
    <row r="213" spans="1:3">
      <c r="A213">
        <v>4.3</v>
      </c>
      <c r="B213">
        <v>72.5</v>
      </c>
      <c r="C213" t="str">
        <f t="shared" si="3"/>
        <v>4.0–4.5</v>
      </c>
    </row>
    <row r="214" spans="1:3">
      <c r="A214">
        <v>4.8</v>
      </c>
      <c r="B214">
        <v>61</v>
      </c>
      <c r="C214" t="str">
        <f t="shared" si="3"/>
        <v>4.5+</v>
      </c>
    </row>
    <row r="215" spans="1:3">
      <c r="A215">
        <v>3.4</v>
      </c>
      <c r="B215">
        <v>109.5</v>
      </c>
      <c r="C215" t="str">
        <f t="shared" si="3"/>
        <v>3.0–3.5</v>
      </c>
    </row>
    <row r="216" spans="1:3">
      <c r="A216">
        <v>3.9</v>
      </c>
      <c r="B216">
        <v>84.5</v>
      </c>
      <c r="C216" t="str">
        <f t="shared" si="3"/>
        <v>3.5–4.0</v>
      </c>
    </row>
    <row r="217" spans="1:3">
      <c r="A217">
        <v>3.4</v>
      </c>
      <c r="B217">
        <v>87.5</v>
      </c>
      <c r="C217" t="str">
        <f t="shared" si="3"/>
        <v>3.0–3.5</v>
      </c>
    </row>
    <row r="218" spans="1:3">
      <c r="A218">
        <v>3.1</v>
      </c>
      <c r="B218">
        <v>92.5</v>
      </c>
      <c r="C218" t="str">
        <f t="shared" si="3"/>
        <v>3.0–3.5</v>
      </c>
    </row>
    <row r="219" spans="1:3">
      <c r="A219">
        <v>3.2</v>
      </c>
      <c r="B219">
        <v>81.5</v>
      </c>
      <c r="C219" t="str">
        <f t="shared" si="3"/>
        <v>3.0–3.5</v>
      </c>
    </row>
    <row r="220" spans="1:3">
      <c r="A220">
        <v>4.3</v>
      </c>
      <c r="B220">
        <v>79</v>
      </c>
      <c r="C220" t="str">
        <f t="shared" si="3"/>
        <v>4.0–4.5</v>
      </c>
    </row>
    <row r="221" spans="1:3">
      <c r="A221">
        <v>3.6</v>
      </c>
      <c r="B221">
        <v>164</v>
      </c>
      <c r="C221" t="str">
        <f t="shared" si="3"/>
        <v>3.5–4.0</v>
      </c>
    </row>
    <row r="222" spans="1:3">
      <c r="A222">
        <v>3.9</v>
      </c>
      <c r="B222">
        <v>169</v>
      </c>
      <c r="C222" t="str">
        <f t="shared" si="3"/>
        <v>3.5–4.0</v>
      </c>
    </row>
    <row r="223" spans="1:3">
      <c r="A223">
        <v>3.8</v>
      </c>
      <c r="B223">
        <v>142</v>
      </c>
      <c r="C223" t="str">
        <f t="shared" si="3"/>
        <v>3.5–4.0</v>
      </c>
    </row>
    <row r="224" spans="1:3">
      <c r="A224">
        <v>2.8</v>
      </c>
      <c r="B224">
        <v>47.5</v>
      </c>
      <c r="C224" t="str">
        <f t="shared" si="3"/>
        <v>Under 3.0</v>
      </c>
    </row>
    <row r="225" spans="1:3">
      <c r="A225">
        <v>3.7</v>
      </c>
      <c r="B225">
        <v>76.5</v>
      </c>
      <c r="C225" t="str">
        <f t="shared" si="3"/>
        <v>3.5–4.0</v>
      </c>
    </row>
    <row r="226" spans="1:3">
      <c r="A226">
        <v>3.4</v>
      </c>
      <c r="B226">
        <v>69</v>
      </c>
      <c r="C226" t="str">
        <f t="shared" si="3"/>
        <v>3.0–3.5</v>
      </c>
    </row>
    <row r="227" spans="1:3">
      <c r="A227">
        <v>4</v>
      </c>
      <c r="B227">
        <v>49</v>
      </c>
      <c r="C227" t="str">
        <f t="shared" si="3"/>
        <v>4.0–4.5</v>
      </c>
    </row>
    <row r="228" spans="1:3">
      <c r="A228">
        <v>3.5</v>
      </c>
      <c r="B228">
        <v>171.5</v>
      </c>
      <c r="C228" t="str">
        <f t="shared" si="3"/>
        <v>3.5–4.0</v>
      </c>
    </row>
    <row r="229" spans="1:3">
      <c r="A229">
        <v>3.8</v>
      </c>
      <c r="B229">
        <v>107</v>
      </c>
      <c r="C229" t="str">
        <f t="shared" si="3"/>
        <v>3.5–4.0</v>
      </c>
    </row>
    <row r="230" spans="1:3">
      <c r="A230">
        <v>3.7</v>
      </c>
      <c r="B230">
        <v>59</v>
      </c>
      <c r="C230" t="str">
        <f t="shared" si="3"/>
        <v>3.5–4.0</v>
      </c>
    </row>
    <row r="231" spans="1:3">
      <c r="A231">
        <v>3.5</v>
      </c>
      <c r="B231">
        <v>88.5</v>
      </c>
      <c r="C231" t="str">
        <f t="shared" si="3"/>
        <v>3.5–4.0</v>
      </c>
    </row>
    <row r="232" spans="1:3">
      <c r="A232">
        <v>4.2</v>
      </c>
      <c r="B232">
        <v>107</v>
      </c>
      <c r="C232" t="str">
        <f t="shared" si="3"/>
        <v>4.0–4.5</v>
      </c>
    </row>
    <row r="233" spans="1:3">
      <c r="A233">
        <v>4</v>
      </c>
      <c r="B233">
        <v>86.5</v>
      </c>
      <c r="C233" t="str">
        <f t="shared" si="3"/>
        <v>4.0–4.5</v>
      </c>
    </row>
    <row r="234" spans="1:3">
      <c r="A234">
        <v>4.3</v>
      </c>
      <c r="B234">
        <v>84</v>
      </c>
      <c r="C234" t="str">
        <f t="shared" si="3"/>
        <v>4.0–4.5</v>
      </c>
    </row>
    <row r="235" spans="1:3">
      <c r="A235">
        <v>4.7</v>
      </c>
      <c r="B235">
        <v>114.5</v>
      </c>
      <c r="C235" t="str">
        <f t="shared" si="3"/>
        <v>4.5+</v>
      </c>
    </row>
    <row r="236" spans="1:3">
      <c r="A236">
        <v>3.5</v>
      </c>
      <c r="B236">
        <v>145</v>
      </c>
      <c r="C236" t="str">
        <f t="shared" si="3"/>
        <v>3.5–4.0</v>
      </c>
    </row>
    <row r="237" spans="1:3">
      <c r="A237">
        <v>4.4000000000000004</v>
      </c>
      <c r="B237">
        <v>88</v>
      </c>
      <c r="C237" t="str">
        <f t="shared" si="3"/>
        <v>4.0–4.5</v>
      </c>
    </row>
    <row r="238" spans="1:3">
      <c r="A238">
        <v>4.0999999999999996</v>
      </c>
      <c r="B238">
        <v>100</v>
      </c>
      <c r="C238" t="str">
        <f t="shared" si="3"/>
        <v>4.0–4.5</v>
      </c>
    </row>
    <row r="239" spans="1:3">
      <c r="A239">
        <v>2.9</v>
      </c>
      <c r="B239">
        <v>61.5</v>
      </c>
      <c r="C239" t="str">
        <f t="shared" si="3"/>
        <v>Under 3.0</v>
      </c>
    </row>
    <row r="240" spans="1:3">
      <c r="A240">
        <v>2.5</v>
      </c>
      <c r="B240">
        <v>96.5</v>
      </c>
      <c r="C240" t="str">
        <f t="shared" si="3"/>
        <v>Under 3.0</v>
      </c>
    </row>
    <row r="241" spans="1:3">
      <c r="A241">
        <v>4.2</v>
      </c>
      <c r="B241">
        <v>76</v>
      </c>
      <c r="C241" t="str">
        <f t="shared" si="3"/>
        <v>4.0–4.5</v>
      </c>
    </row>
    <row r="242" spans="1:3">
      <c r="A242">
        <v>3.9</v>
      </c>
      <c r="B242">
        <v>15.5</v>
      </c>
      <c r="C242" t="str">
        <f t="shared" si="3"/>
        <v>3.5–4.0</v>
      </c>
    </row>
    <row r="243" spans="1:3">
      <c r="A243">
        <v>4.3</v>
      </c>
      <c r="B243">
        <v>83.5</v>
      </c>
      <c r="C243" t="str">
        <f t="shared" ref="C243:C267" si="4">IF(A243&lt;3,"Under 3.0",IF(A243&lt;3.5,"3.0–3.5",IF(A243&lt;4,"3.5–4.0",IF(A243&lt;4.5,"4.0–4.5","4.5+"))))</f>
        <v>4.0–4.5</v>
      </c>
    </row>
    <row r="244" spans="1:3">
      <c r="A244">
        <v>2.7</v>
      </c>
      <c r="B244">
        <v>120</v>
      </c>
      <c r="C244" t="str">
        <f t="shared" si="4"/>
        <v>Under 3.0</v>
      </c>
    </row>
    <row r="245" spans="1:3">
      <c r="A245">
        <v>3.9</v>
      </c>
      <c r="B245">
        <v>163</v>
      </c>
      <c r="C245" t="str">
        <f t="shared" si="4"/>
        <v>3.5–4.0</v>
      </c>
    </row>
    <row r="246" spans="1:3">
      <c r="A246">
        <v>3.4</v>
      </c>
      <c r="B246">
        <v>100</v>
      </c>
      <c r="C246" t="str">
        <f t="shared" si="4"/>
        <v>3.0–3.5</v>
      </c>
    </row>
    <row r="247" spans="1:3">
      <c r="A247">
        <v>3.8</v>
      </c>
      <c r="B247">
        <v>52.5</v>
      </c>
      <c r="C247" t="str">
        <f t="shared" si="4"/>
        <v>3.5–4.0</v>
      </c>
    </row>
    <row r="248" spans="1:3">
      <c r="A248">
        <v>3.6</v>
      </c>
      <c r="B248">
        <v>42</v>
      </c>
      <c r="C248" t="str">
        <f t="shared" si="4"/>
        <v>3.5–4.0</v>
      </c>
    </row>
    <row r="249" spans="1:3">
      <c r="A249">
        <v>3.3</v>
      </c>
      <c r="B249">
        <v>50</v>
      </c>
      <c r="C249" t="str">
        <f t="shared" si="4"/>
        <v>3.0–3.5</v>
      </c>
    </row>
    <row r="250" spans="1:3">
      <c r="A250">
        <v>3.4</v>
      </c>
      <c r="B250">
        <v>93</v>
      </c>
      <c r="C250" t="str">
        <f t="shared" si="4"/>
        <v>3.0–3.5</v>
      </c>
    </row>
    <row r="251" spans="1:3">
      <c r="A251">
        <v>3</v>
      </c>
      <c r="B251">
        <v>94.5</v>
      </c>
      <c r="C251" t="str">
        <f t="shared" si="4"/>
        <v>3.0–3.5</v>
      </c>
    </row>
    <row r="252" spans="1:3">
      <c r="A252">
        <v>4</v>
      </c>
      <c r="B252">
        <v>150.5</v>
      </c>
      <c r="C252" t="str">
        <f t="shared" si="4"/>
        <v>4.0–4.5</v>
      </c>
    </row>
    <row r="253" spans="1:3">
      <c r="A253">
        <v>3.7</v>
      </c>
      <c r="B253">
        <v>102</v>
      </c>
      <c r="C253" t="str">
        <f t="shared" si="4"/>
        <v>3.5–4.0</v>
      </c>
    </row>
    <row r="254" spans="1:3">
      <c r="A254">
        <v>4.4000000000000004</v>
      </c>
      <c r="B254">
        <v>62</v>
      </c>
      <c r="C254" t="str">
        <f t="shared" si="4"/>
        <v>4.0–4.5</v>
      </c>
    </row>
    <row r="255" spans="1:3">
      <c r="A255">
        <v>4.3</v>
      </c>
      <c r="B255">
        <v>87.5</v>
      </c>
      <c r="C255" t="str">
        <f t="shared" si="4"/>
        <v>4.0–4.5</v>
      </c>
    </row>
    <row r="256" spans="1:3">
      <c r="A256">
        <v>4</v>
      </c>
      <c r="B256">
        <v>84</v>
      </c>
      <c r="C256" t="str">
        <f t="shared" si="4"/>
        <v>4.0–4.5</v>
      </c>
    </row>
    <row r="257" spans="1:3">
      <c r="A257">
        <v>4</v>
      </c>
      <c r="B257">
        <v>143</v>
      </c>
      <c r="C257" t="str">
        <f t="shared" si="4"/>
        <v>4.0–4.5</v>
      </c>
    </row>
    <row r="258" spans="1:3">
      <c r="A258">
        <v>3.2</v>
      </c>
      <c r="B258">
        <v>155</v>
      </c>
      <c r="C258" t="str">
        <f t="shared" si="4"/>
        <v>3.0–3.5</v>
      </c>
    </row>
    <row r="259" spans="1:3">
      <c r="A259">
        <v>4.2</v>
      </c>
      <c r="B259">
        <v>71.5</v>
      </c>
      <c r="C259" t="str">
        <f t="shared" si="4"/>
        <v>4.0–4.5</v>
      </c>
    </row>
    <row r="260" spans="1:3">
      <c r="A260">
        <v>3.9</v>
      </c>
      <c r="B260">
        <v>108</v>
      </c>
      <c r="C260" t="str">
        <f t="shared" si="4"/>
        <v>3.5–4.0</v>
      </c>
    </row>
    <row r="261" spans="1:3">
      <c r="A261">
        <v>3.7</v>
      </c>
      <c r="B261">
        <v>151.5</v>
      </c>
      <c r="C261" t="str">
        <f t="shared" si="4"/>
        <v>3.5–4.0</v>
      </c>
    </row>
    <row r="262" spans="1:3">
      <c r="A262">
        <v>3.6</v>
      </c>
      <c r="B262">
        <v>51.5</v>
      </c>
      <c r="C262" t="str">
        <f t="shared" si="4"/>
        <v>3.5–4.0</v>
      </c>
    </row>
    <row r="263" spans="1:3">
      <c r="A263">
        <v>3.7</v>
      </c>
      <c r="B263">
        <v>140</v>
      </c>
      <c r="C263" t="str">
        <f t="shared" si="4"/>
        <v>3.5–4.0</v>
      </c>
    </row>
    <row r="264" spans="1:3">
      <c r="A264">
        <v>2.8</v>
      </c>
      <c r="B264">
        <v>77.5</v>
      </c>
      <c r="C264" t="str">
        <f t="shared" si="4"/>
        <v>Under 3.0</v>
      </c>
    </row>
    <row r="265" spans="1:3">
      <c r="A265">
        <v>4.2</v>
      </c>
      <c r="B265">
        <v>63.5</v>
      </c>
      <c r="C265" t="str">
        <f t="shared" si="4"/>
        <v>4.0–4.5</v>
      </c>
    </row>
    <row r="266" spans="1:3">
      <c r="A266">
        <v>4</v>
      </c>
      <c r="B266">
        <v>109</v>
      </c>
      <c r="C266" t="str">
        <f t="shared" si="4"/>
        <v>4.0–4.5</v>
      </c>
    </row>
    <row r="267" spans="1:3">
      <c r="A267">
        <v>3.5</v>
      </c>
      <c r="B267">
        <v>96</v>
      </c>
      <c r="C267" t="str">
        <f t="shared" si="4"/>
        <v>3.5–4.0</v>
      </c>
    </row>
    <row r="268" spans="1:3" hidden="1">
      <c r="A268">
        <v>-1</v>
      </c>
      <c r="B268">
        <v>225</v>
      </c>
    </row>
    <row r="269" spans="1:3">
      <c r="A269">
        <v>3.2</v>
      </c>
      <c r="B269">
        <v>101</v>
      </c>
      <c r="C269" t="str">
        <f t="shared" ref="C269:C301" si="5">IF(A269&lt;3,"Under 3.0",IF(A269&lt;3.5,"3.0–3.5",IF(A269&lt;4,"3.5–4.0",IF(A269&lt;4.5,"4.0–4.5","4.5+"))))</f>
        <v>3.0–3.5</v>
      </c>
    </row>
    <row r="270" spans="1:3">
      <c r="A270">
        <v>3.3</v>
      </c>
      <c r="B270">
        <v>98.5</v>
      </c>
      <c r="C270" t="str">
        <f t="shared" si="5"/>
        <v>3.0–3.5</v>
      </c>
    </row>
    <row r="271" spans="1:3">
      <c r="A271">
        <v>3.9</v>
      </c>
      <c r="B271">
        <v>77.5</v>
      </c>
      <c r="C271" t="str">
        <f t="shared" si="5"/>
        <v>3.5–4.0</v>
      </c>
    </row>
    <row r="272" spans="1:3">
      <c r="A272">
        <v>3.7</v>
      </c>
      <c r="B272">
        <v>161.5</v>
      </c>
      <c r="C272" t="str">
        <f t="shared" si="5"/>
        <v>3.5–4.0</v>
      </c>
    </row>
    <row r="273" spans="1:3">
      <c r="A273">
        <v>3.6</v>
      </c>
      <c r="B273">
        <v>56.5</v>
      </c>
      <c r="C273" t="str">
        <f t="shared" si="5"/>
        <v>3.5–4.0</v>
      </c>
    </row>
    <row r="274" spans="1:3">
      <c r="A274">
        <v>3.4</v>
      </c>
      <c r="B274">
        <v>147</v>
      </c>
      <c r="C274" t="str">
        <f t="shared" si="5"/>
        <v>3.0–3.5</v>
      </c>
    </row>
    <row r="275" spans="1:3">
      <c r="A275">
        <v>3.5</v>
      </c>
      <c r="B275">
        <v>90</v>
      </c>
      <c r="C275" t="str">
        <f t="shared" si="5"/>
        <v>3.5–4.0</v>
      </c>
    </row>
    <row r="276" spans="1:3">
      <c r="A276">
        <v>4.3</v>
      </c>
      <c r="B276">
        <v>58</v>
      </c>
      <c r="C276" t="str">
        <f t="shared" si="5"/>
        <v>4.0–4.5</v>
      </c>
    </row>
    <row r="277" spans="1:3">
      <c r="A277">
        <v>4.0999999999999996</v>
      </c>
      <c r="B277">
        <v>61</v>
      </c>
      <c r="C277" t="str">
        <f t="shared" si="5"/>
        <v>4.0–4.5</v>
      </c>
    </row>
    <row r="278" spans="1:3">
      <c r="A278">
        <v>2.6</v>
      </c>
      <c r="B278">
        <v>120</v>
      </c>
      <c r="C278" t="str">
        <f t="shared" si="5"/>
        <v>Under 3.0</v>
      </c>
    </row>
    <row r="279" spans="1:3">
      <c r="A279">
        <v>3.6</v>
      </c>
      <c r="B279">
        <v>128</v>
      </c>
      <c r="C279" t="str">
        <f t="shared" si="5"/>
        <v>3.5–4.0</v>
      </c>
    </row>
    <row r="280" spans="1:3">
      <c r="A280">
        <v>3.5</v>
      </c>
      <c r="B280">
        <v>99.5</v>
      </c>
      <c r="C280" t="str">
        <f t="shared" si="5"/>
        <v>3.5–4.0</v>
      </c>
    </row>
    <row r="281" spans="1:3">
      <c r="A281">
        <v>3.6</v>
      </c>
      <c r="B281">
        <v>96</v>
      </c>
      <c r="C281" t="str">
        <f t="shared" si="5"/>
        <v>3.5–4.0</v>
      </c>
    </row>
    <row r="282" spans="1:3">
      <c r="A282">
        <v>2.2999999999999998</v>
      </c>
      <c r="B282">
        <v>101</v>
      </c>
      <c r="C282" t="str">
        <f t="shared" si="5"/>
        <v>Under 3.0</v>
      </c>
    </row>
    <row r="283" spans="1:3">
      <c r="A283">
        <v>3.9</v>
      </c>
      <c r="B283">
        <v>148</v>
      </c>
      <c r="C283" t="str">
        <f t="shared" si="5"/>
        <v>3.5–4.0</v>
      </c>
    </row>
    <row r="284" spans="1:3">
      <c r="A284">
        <v>4</v>
      </c>
      <c r="B284">
        <v>142</v>
      </c>
      <c r="C284" t="str">
        <f t="shared" si="5"/>
        <v>4.0–4.5</v>
      </c>
    </row>
    <row r="285" spans="1:3">
      <c r="A285">
        <v>4.0999999999999996</v>
      </c>
      <c r="B285">
        <v>169</v>
      </c>
      <c r="C285" t="str">
        <f t="shared" si="5"/>
        <v>4.0–4.5</v>
      </c>
    </row>
    <row r="286" spans="1:3">
      <c r="A286">
        <v>3.2</v>
      </c>
      <c r="B286">
        <v>124.5</v>
      </c>
      <c r="C286" t="str">
        <f t="shared" si="5"/>
        <v>3.0–3.5</v>
      </c>
    </row>
    <row r="287" spans="1:3">
      <c r="A287">
        <v>4.7</v>
      </c>
      <c r="B287">
        <v>59</v>
      </c>
      <c r="C287" t="str">
        <f t="shared" si="5"/>
        <v>4.5+</v>
      </c>
    </row>
    <row r="288" spans="1:3">
      <c r="A288">
        <v>4.2</v>
      </c>
      <c r="B288">
        <v>52.5</v>
      </c>
      <c r="C288" t="str">
        <f t="shared" si="5"/>
        <v>4.0–4.5</v>
      </c>
    </row>
    <row r="289" spans="1:3">
      <c r="A289">
        <v>4.5999999999999996</v>
      </c>
      <c r="B289">
        <v>75.5</v>
      </c>
      <c r="C289" t="str">
        <f t="shared" si="5"/>
        <v>4.5+</v>
      </c>
    </row>
    <row r="290" spans="1:3">
      <c r="A290">
        <v>3.7</v>
      </c>
      <c r="B290">
        <v>139</v>
      </c>
      <c r="C290" t="str">
        <f t="shared" si="5"/>
        <v>3.5–4.0</v>
      </c>
    </row>
    <row r="291" spans="1:3">
      <c r="A291">
        <v>3.7</v>
      </c>
      <c r="B291">
        <v>102.5</v>
      </c>
      <c r="C291" t="str">
        <f t="shared" si="5"/>
        <v>3.5–4.0</v>
      </c>
    </row>
    <row r="292" spans="1:3">
      <c r="A292">
        <v>4.4000000000000004</v>
      </c>
      <c r="B292">
        <v>60.5</v>
      </c>
      <c r="C292" t="str">
        <f t="shared" si="5"/>
        <v>4.0–4.5</v>
      </c>
    </row>
    <row r="293" spans="1:3">
      <c r="A293">
        <v>3.7</v>
      </c>
      <c r="B293">
        <v>146.5</v>
      </c>
      <c r="C293" t="str">
        <f t="shared" si="5"/>
        <v>3.5–4.0</v>
      </c>
    </row>
    <row r="294" spans="1:3">
      <c r="A294">
        <v>3.9</v>
      </c>
      <c r="B294">
        <v>125</v>
      </c>
      <c r="C294" t="str">
        <f t="shared" si="5"/>
        <v>3.5–4.0</v>
      </c>
    </row>
    <row r="295" spans="1:3">
      <c r="A295">
        <v>3.6</v>
      </c>
      <c r="B295">
        <v>81</v>
      </c>
      <c r="C295" t="str">
        <f t="shared" si="5"/>
        <v>3.5–4.0</v>
      </c>
    </row>
    <row r="296" spans="1:3">
      <c r="A296">
        <v>3</v>
      </c>
      <c r="B296">
        <v>133</v>
      </c>
      <c r="C296" t="str">
        <f t="shared" si="5"/>
        <v>3.0–3.5</v>
      </c>
    </row>
    <row r="297" spans="1:3">
      <c r="A297">
        <v>3.4</v>
      </c>
      <c r="B297">
        <v>77</v>
      </c>
      <c r="C297" t="str">
        <f t="shared" si="5"/>
        <v>3.0–3.5</v>
      </c>
    </row>
    <row r="298" spans="1:3">
      <c r="A298">
        <v>4.0999999999999996</v>
      </c>
      <c r="B298">
        <v>92</v>
      </c>
      <c r="C298" t="str">
        <f t="shared" si="5"/>
        <v>4.0–4.5</v>
      </c>
    </row>
    <row r="299" spans="1:3">
      <c r="A299">
        <v>3.8</v>
      </c>
      <c r="B299">
        <v>121</v>
      </c>
      <c r="C299" t="str">
        <f t="shared" si="5"/>
        <v>3.5–4.0</v>
      </c>
    </row>
    <row r="300" spans="1:3">
      <c r="A300">
        <v>4</v>
      </c>
      <c r="B300">
        <v>162.5</v>
      </c>
      <c r="C300" t="str">
        <f t="shared" si="5"/>
        <v>4.0–4.5</v>
      </c>
    </row>
    <row r="301" spans="1:3">
      <c r="A301">
        <v>3.9</v>
      </c>
      <c r="B301">
        <v>60</v>
      </c>
      <c r="C301" t="str">
        <f t="shared" si="5"/>
        <v>3.5–4.0</v>
      </c>
    </row>
    <row r="302" spans="1:3" hidden="1">
      <c r="A302">
        <v>-1</v>
      </c>
      <c r="B302">
        <v>87.5</v>
      </c>
    </row>
    <row r="303" spans="1:3">
      <c r="A303">
        <v>4.4000000000000004</v>
      </c>
      <c r="B303">
        <v>90.5</v>
      </c>
      <c r="C303" t="str">
        <f t="shared" ref="C303:C366" si="6">IF(A303&lt;3,"Under 3.0",IF(A303&lt;3.5,"3.0–3.5",IF(A303&lt;4,"3.5–4.0",IF(A303&lt;4.5,"4.0–4.5","4.5+"))))</f>
        <v>4.0–4.5</v>
      </c>
    </row>
    <row r="304" spans="1:3">
      <c r="A304">
        <v>3.8</v>
      </c>
      <c r="B304">
        <v>114.5</v>
      </c>
      <c r="C304" t="str">
        <f t="shared" si="6"/>
        <v>3.5–4.0</v>
      </c>
    </row>
    <row r="305" spans="1:3">
      <c r="A305">
        <v>3.8</v>
      </c>
      <c r="B305">
        <v>121</v>
      </c>
      <c r="C305" t="str">
        <f t="shared" si="6"/>
        <v>3.5–4.0</v>
      </c>
    </row>
    <row r="306" spans="1:3">
      <c r="A306">
        <v>2.2000000000000002</v>
      </c>
      <c r="B306">
        <v>110</v>
      </c>
      <c r="C306" t="str">
        <f t="shared" si="6"/>
        <v>Under 3.0</v>
      </c>
    </row>
    <row r="307" spans="1:3">
      <c r="A307">
        <v>2.9</v>
      </c>
      <c r="B307">
        <v>91.5</v>
      </c>
      <c r="C307" t="str">
        <f t="shared" si="6"/>
        <v>Under 3.0</v>
      </c>
    </row>
    <row r="308" spans="1:3">
      <c r="A308">
        <v>4.0999999999999996</v>
      </c>
      <c r="B308">
        <v>70.5</v>
      </c>
      <c r="C308" t="str">
        <f t="shared" si="6"/>
        <v>4.0–4.5</v>
      </c>
    </row>
    <row r="309" spans="1:3">
      <c r="A309">
        <v>3.7</v>
      </c>
      <c r="B309">
        <v>70.5</v>
      </c>
      <c r="C309" t="str">
        <f t="shared" si="6"/>
        <v>3.5–4.0</v>
      </c>
    </row>
    <row r="310" spans="1:3">
      <c r="A310">
        <v>3.8</v>
      </c>
      <c r="B310">
        <v>76.5</v>
      </c>
      <c r="C310" t="str">
        <f t="shared" si="6"/>
        <v>3.5–4.0</v>
      </c>
    </row>
    <row r="311" spans="1:3">
      <c r="A311">
        <v>3.6</v>
      </c>
      <c r="B311">
        <v>92</v>
      </c>
      <c r="C311" t="str">
        <f t="shared" si="6"/>
        <v>3.5–4.0</v>
      </c>
    </row>
    <row r="312" spans="1:3">
      <c r="A312">
        <v>4.7</v>
      </c>
      <c r="B312">
        <v>140.5</v>
      </c>
      <c r="C312" t="str">
        <f t="shared" si="6"/>
        <v>4.5+</v>
      </c>
    </row>
    <row r="313" spans="1:3">
      <c r="A313">
        <v>3.5</v>
      </c>
      <c r="B313">
        <v>82</v>
      </c>
      <c r="C313" t="str">
        <f t="shared" si="6"/>
        <v>3.5–4.0</v>
      </c>
    </row>
    <row r="314" spans="1:3">
      <c r="A314">
        <v>3.3</v>
      </c>
      <c r="B314">
        <v>84.5</v>
      </c>
      <c r="C314" t="str">
        <f t="shared" si="6"/>
        <v>3.0–3.5</v>
      </c>
    </row>
    <row r="315" spans="1:3">
      <c r="A315">
        <v>4.4000000000000004</v>
      </c>
      <c r="B315">
        <v>134.5</v>
      </c>
      <c r="C315" t="str">
        <f t="shared" si="6"/>
        <v>4.0–4.5</v>
      </c>
    </row>
    <row r="316" spans="1:3">
      <c r="A316">
        <v>3.3</v>
      </c>
      <c r="B316">
        <v>164.5</v>
      </c>
      <c r="C316" t="str">
        <f t="shared" si="6"/>
        <v>3.0–3.5</v>
      </c>
    </row>
    <row r="317" spans="1:3">
      <c r="A317">
        <v>3.4</v>
      </c>
      <c r="B317">
        <v>44</v>
      </c>
      <c r="C317" t="str">
        <f t="shared" si="6"/>
        <v>3.0–3.5</v>
      </c>
    </row>
    <row r="318" spans="1:3">
      <c r="A318">
        <v>4</v>
      </c>
      <c r="B318">
        <v>93.5</v>
      </c>
      <c r="C318" t="str">
        <f t="shared" si="6"/>
        <v>4.0–4.5</v>
      </c>
    </row>
    <row r="319" spans="1:3">
      <c r="A319">
        <v>4.4000000000000004</v>
      </c>
      <c r="B319">
        <v>109</v>
      </c>
      <c r="C319" t="str">
        <f t="shared" si="6"/>
        <v>4.0–4.5</v>
      </c>
    </row>
    <row r="320" spans="1:3">
      <c r="A320">
        <v>3.8</v>
      </c>
      <c r="B320">
        <v>149.5</v>
      </c>
      <c r="C320" t="str">
        <f t="shared" si="6"/>
        <v>3.5–4.0</v>
      </c>
    </row>
    <row r="321" spans="1:3">
      <c r="A321">
        <v>3.5</v>
      </c>
      <c r="B321">
        <v>65.5</v>
      </c>
      <c r="C321" t="str">
        <f t="shared" si="6"/>
        <v>3.5–4.0</v>
      </c>
    </row>
    <row r="322" spans="1:3">
      <c r="A322">
        <v>3.5</v>
      </c>
      <c r="B322">
        <v>124.5</v>
      </c>
      <c r="C322" t="str">
        <f t="shared" si="6"/>
        <v>3.5–4.0</v>
      </c>
    </row>
    <row r="323" spans="1:3">
      <c r="A323">
        <v>2.9</v>
      </c>
      <c r="B323">
        <v>114</v>
      </c>
      <c r="C323" t="str">
        <f t="shared" si="6"/>
        <v>Under 3.0</v>
      </c>
    </row>
    <row r="324" spans="1:3">
      <c r="A324">
        <v>3.9</v>
      </c>
      <c r="B324">
        <v>49</v>
      </c>
      <c r="C324" t="str">
        <f t="shared" si="6"/>
        <v>3.5–4.0</v>
      </c>
    </row>
    <row r="325" spans="1:3">
      <c r="A325">
        <v>3.3</v>
      </c>
      <c r="B325">
        <v>84.5</v>
      </c>
      <c r="C325" t="str">
        <f t="shared" si="6"/>
        <v>3.0–3.5</v>
      </c>
    </row>
    <row r="326" spans="1:3">
      <c r="A326">
        <v>3.7</v>
      </c>
      <c r="B326">
        <v>71</v>
      </c>
      <c r="C326" t="str">
        <f t="shared" si="6"/>
        <v>3.5–4.0</v>
      </c>
    </row>
    <row r="327" spans="1:3">
      <c r="A327">
        <v>3.6</v>
      </c>
      <c r="B327">
        <v>101</v>
      </c>
      <c r="C327" t="str">
        <f t="shared" si="6"/>
        <v>3.5–4.0</v>
      </c>
    </row>
    <row r="328" spans="1:3">
      <c r="A328">
        <v>3.5</v>
      </c>
      <c r="B328">
        <v>107</v>
      </c>
      <c r="C328" t="str">
        <f t="shared" si="6"/>
        <v>3.5–4.0</v>
      </c>
    </row>
    <row r="329" spans="1:3">
      <c r="A329">
        <v>4.7</v>
      </c>
      <c r="B329">
        <v>112.5</v>
      </c>
      <c r="C329" t="str">
        <f t="shared" si="6"/>
        <v>4.5+</v>
      </c>
    </row>
    <row r="330" spans="1:3">
      <c r="A330">
        <v>3.9</v>
      </c>
      <c r="B330">
        <v>181</v>
      </c>
      <c r="C330" t="str">
        <f t="shared" si="6"/>
        <v>3.5–4.0</v>
      </c>
    </row>
    <row r="331" spans="1:3">
      <c r="A331">
        <v>3.7</v>
      </c>
      <c r="B331">
        <v>61</v>
      </c>
      <c r="C331" t="str">
        <f t="shared" si="6"/>
        <v>3.5–4.0</v>
      </c>
    </row>
    <row r="332" spans="1:3">
      <c r="A332">
        <v>4.0999999999999996</v>
      </c>
      <c r="B332">
        <v>205</v>
      </c>
      <c r="C332" t="str">
        <f t="shared" si="6"/>
        <v>4.0–4.5</v>
      </c>
    </row>
    <row r="333" spans="1:3">
      <c r="A333">
        <v>3.1</v>
      </c>
      <c r="B333">
        <v>103.5</v>
      </c>
      <c r="C333" t="str">
        <f t="shared" si="6"/>
        <v>3.0–3.5</v>
      </c>
    </row>
    <row r="334" spans="1:3">
      <c r="A334">
        <v>3.6</v>
      </c>
      <c r="B334">
        <v>63</v>
      </c>
      <c r="C334" t="str">
        <f t="shared" si="6"/>
        <v>3.5–4.0</v>
      </c>
    </row>
    <row r="335" spans="1:3">
      <c r="A335">
        <v>3</v>
      </c>
      <c r="B335">
        <v>62.5</v>
      </c>
      <c r="C335" t="str">
        <f t="shared" si="6"/>
        <v>3.0–3.5</v>
      </c>
    </row>
    <row r="336" spans="1:3">
      <c r="A336">
        <v>3.5</v>
      </c>
      <c r="B336">
        <v>94.5</v>
      </c>
      <c r="C336" t="str">
        <f t="shared" si="6"/>
        <v>3.5–4.0</v>
      </c>
    </row>
    <row r="337" spans="1:3">
      <c r="A337">
        <v>3.6</v>
      </c>
      <c r="B337">
        <v>48.5</v>
      </c>
      <c r="C337" t="str">
        <f t="shared" si="6"/>
        <v>3.5–4.0</v>
      </c>
    </row>
    <row r="338" spans="1:3">
      <c r="A338">
        <v>3.5</v>
      </c>
      <c r="B338">
        <v>154.5</v>
      </c>
      <c r="C338" t="str">
        <f t="shared" si="6"/>
        <v>3.5–4.0</v>
      </c>
    </row>
    <row r="339" spans="1:3">
      <c r="A339">
        <v>4</v>
      </c>
      <c r="B339">
        <v>44.5</v>
      </c>
      <c r="C339" t="str">
        <f t="shared" si="6"/>
        <v>4.0–4.5</v>
      </c>
    </row>
    <row r="340" spans="1:3">
      <c r="A340">
        <v>3.7</v>
      </c>
      <c r="B340">
        <v>87</v>
      </c>
      <c r="C340" t="str">
        <f t="shared" si="6"/>
        <v>3.5–4.0</v>
      </c>
    </row>
    <row r="341" spans="1:3">
      <c r="A341">
        <v>2.4</v>
      </c>
      <c r="B341">
        <v>52.5</v>
      </c>
      <c r="C341" t="str">
        <f t="shared" si="6"/>
        <v>Under 3.0</v>
      </c>
    </row>
    <row r="342" spans="1:3">
      <c r="A342">
        <v>3.2</v>
      </c>
      <c r="B342">
        <v>64.5</v>
      </c>
      <c r="C342" t="str">
        <f t="shared" si="6"/>
        <v>3.0–3.5</v>
      </c>
    </row>
    <row r="343" spans="1:3">
      <c r="A343">
        <v>2.1</v>
      </c>
      <c r="B343">
        <v>111.5</v>
      </c>
      <c r="C343" t="str">
        <f t="shared" si="6"/>
        <v>Under 3.0</v>
      </c>
    </row>
    <row r="344" spans="1:3">
      <c r="A344">
        <v>3.7</v>
      </c>
      <c r="B344">
        <v>154.5</v>
      </c>
      <c r="C344" t="str">
        <f t="shared" si="6"/>
        <v>3.5–4.0</v>
      </c>
    </row>
    <row r="345" spans="1:3">
      <c r="A345">
        <v>2.6</v>
      </c>
      <c r="B345">
        <v>124</v>
      </c>
      <c r="C345" t="str">
        <f t="shared" si="6"/>
        <v>Under 3.0</v>
      </c>
    </row>
    <row r="346" spans="1:3">
      <c r="A346">
        <v>4.4000000000000004</v>
      </c>
      <c r="B346">
        <v>128.5</v>
      </c>
      <c r="C346" t="str">
        <f t="shared" si="6"/>
        <v>4.0–4.5</v>
      </c>
    </row>
    <row r="347" spans="1:3">
      <c r="A347">
        <v>3.7</v>
      </c>
      <c r="B347">
        <v>65</v>
      </c>
      <c r="C347" t="str">
        <f t="shared" si="6"/>
        <v>3.5–4.0</v>
      </c>
    </row>
    <row r="348" spans="1:3">
      <c r="A348">
        <v>3.5</v>
      </c>
      <c r="B348">
        <v>64</v>
      </c>
      <c r="C348" t="str">
        <f t="shared" si="6"/>
        <v>3.5–4.0</v>
      </c>
    </row>
    <row r="349" spans="1:3">
      <c r="A349">
        <v>3</v>
      </c>
      <c r="B349">
        <v>98</v>
      </c>
      <c r="C349" t="str">
        <f t="shared" si="6"/>
        <v>3.0–3.5</v>
      </c>
    </row>
    <row r="350" spans="1:3">
      <c r="A350">
        <v>4.2</v>
      </c>
      <c r="B350">
        <v>142.5</v>
      </c>
      <c r="C350" t="str">
        <f t="shared" si="6"/>
        <v>4.0–4.5</v>
      </c>
    </row>
    <row r="351" spans="1:3">
      <c r="A351">
        <v>3.9</v>
      </c>
      <c r="B351">
        <v>137</v>
      </c>
      <c r="C351" t="str">
        <f t="shared" si="6"/>
        <v>3.5–4.0</v>
      </c>
    </row>
    <row r="352" spans="1:3">
      <c r="A352">
        <v>4</v>
      </c>
      <c r="B352">
        <v>99</v>
      </c>
      <c r="C352" t="str">
        <f t="shared" si="6"/>
        <v>4.0–4.5</v>
      </c>
    </row>
    <row r="353" spans="1:3">
      <c r="A353">
        <v>3.3</v>
      </c>
      <c r="B353">
        <v>54</v>
      </c>
      <c r="C353" t="str">
        <f t="shared" si="6"/>
        <v>3.0–3.5</v>
      </c>
    </row>
    <row r="354" spans="1:3">
      <c r="A354">
        <v>4.4000000000000004</v>
      </c>
      <c r="B354">
        <v>139.5</v>
      </c>
      <c r="C354" t="str">
        <f t="shared" si="6"/>
        <v>4.0–4.5</v>
      </c>
    </row>
    <row r="355" spans="1:3">
      <c r="A355">
        <v>3.4</v>
      </c>
      <c r="B355">
        <v>109</v>
      </c>
      <c r="C355" t="str">
        <f t="shared" si="6"/>
        <v>3.0–3.5</v>
      </c>
    </row>
    <row r="356" spans="1:3">
      <c r="A356">
        <v>3.3</v>
      </c>
      <c r="B356">
        <v>254</v>
      </c>
      <c r="C356" t="str">
        <f t="shared" si="6"/>
        <v>3.0–3.5</v>
      </c>
    </row>
    <row r="357" spans="1:3">
      <c r="A357">
        <v>2.9</v>
      </c>
      <c r="B357">
        <v>73</v>
      </c>
      <c r="C357" t="str">
        <f t="shared" si="6"/>
        <v>Under 3.0</v>
      </c>
    </row>
    <row r="358" spans="1:3">
      <c r="A358">
        <v>2.7</v>
      </c>
      <c r="B358">
        <v>81</v>
      </c>
      <c r="C358" t="str">
        <f t="shared" si="6"/>
        <v>Under 3.0</v>
      </c>
    </row>
    <row r="359" spans="1:3">
      <c r="A359">
        <v>3.6</v>
      </c>
      <c r="B359">
        <v>56.5</v>
      </c>
      <c r="C359" t="str">
        <f t="shared" si="6"/>
        <v>3.5–4.0</v>
      </c>
    </row>
    <row r="360" spans="1:3">
      <c r="A360">
        <v>3.1</v>
      </c>
      <c r="B360">
        <v>99.5</v>
      </c>
      <c r="C360" t="str">
        <f t="shared" si="6"/>
        <v>3.0–3.5</v>
      </c>
    </row>
    <row r="361" spans="1:3">
      <c r="A361">
        <v>3.3</v>
      </c>
      <c r="B361">
        <v>45.5</v>
      </c>
      <c r="C361" t="str">
        <f t="shared" si="6"/>
        <v>3.0–3.5</v>
      </c>
    </row>
    <row r="362" spans="1:3">
      <c r="A362">
        <v>4.5</v>
      </c>
      <c r="B362">
        <v>122.5</v>
      </c>
      <c r="C362" t="str">
        <f t="shared" si="6"/>
        <v>4.5+</v>
      </c>
    </row>
    <row r="363" spans="1:3">
      <c r="A363">
        <v>3.9</v>
      </c>
      <c r="B363">
        <v>140</v>
      </c>
      <c r="C363" t="str">
        <f t="shared" si="6"/>
        <v>3.5–4.0</v>
      </c>
    </row>
    <row r="364" spans="1:3">
      <c r="A364">
        <v>3.2</v>
      </c>
      <c r="B364">
        <v>77.5</v>
      </c>
      <c r="C364" t="str">
        <f t="shared" si="6"/>
        <v>3.0–3.5</v>
      </c>
    </row>
    <row r="365" spans="1:3">
      <c r="A365">
        <v>3.3</v>
      </c>
      <c r="B365">
        <v>55</v>
      </c>
      <c r="C365" t="str">
        <f t="shared" si="6"/>
        <v>3.0–3.5</v>
      </c>
    </row>
    <row r="366" spans="1:3">
      <c r="A366">
        <v>3.1</v>
      </c>
      <c r="B366">
        <v>117.5</v>
      </c>
      <c r="C366" t="str">
        <f t="shared" si="6"/>
        <v>3.0–3.5</v>
      </c>
    </row>
    <row r="367" spans="1:3">
      <c r="A367">
        <v>2.4</v>
      </c>
      <c r="B367">
        <v>70.5</v>
      </c>
      <c r="C367" t="str">
        <f t="shared" ref="C367:C371" si="7">IF(A367&lt;3,"Under 3.0",IF(A367&lt;3.5,"3.0–3.5",IF(A367&lt;4,"3.5–4.0",IF(A367&lt;4.5,"4.0–4.5","4.5+"))))</f>
        <v>Under 3.0</v>
      </c>
    </row>
    <row r="368" spans="1:3">
      <c r="A368">
        <v>4.8</v>
      </c>
      <c r="B368">
        <v>61.5</v>
      </c>
      <c r="C368" t="str">
        <f t="shared" si="7"/>
        <v>4.5+</v>
      </c>
    </row>
    <row r="369" spans="1:3">
      <c r="A369">
        <v>2.9</v>
      </c>
      <c r="B369">
        <v>70</v>
      </c>
      <c r="C369" t="str">
        <f t="shared" si="7"/>
        <v>Under 3.0</v>
      </c>
    </row>
    <row r="370" spans="1:3">
      <c r="A370">
        <v>2.9</v>
      </c>
      <c r="B370">
        <v>80</v>
      </c>
      <c r="C370" t="str">
        <f t="shared" si="7"/>
        <v>Under 3.0</v>
      </c>
    </row>
    <row r="371" spans="1:3">
      <c r="A371">
        <v>3.4</v>
      </c>
      <c r="B371">
        <v>90</v>
      </c>
      <c r="C371" t="str">
        <f t="shared" si="7"/>
        <v>3.0–3.5</v>
      </c>
    </row>
    <row r="372" spans="1:3" hidden="1">
      <c r="A372">
        <v>-1</v>
      </c>
      <c r="B372">
        <v>120</v>
      </c>
    </row>
    <row r="373" spans="1:3">
      <c r="A373">
        <v>2.6</v>
      </c>
      <c r="B373">
        <v>73.5</v>
      </c>
      <c r="C373" t="str">
        <f t="shared" ref="C373:C405" si="8">IF(A373&lt;3,"Under 3.0",IF(A373&lt;3.5,"3.0–3.5",IF(A373&lt;4,"3.5–4.0",IF(A373&lt;4.5,"4.0–4.5","4.5+"))))</f>
        <v>Under 3.0</v>
      </c>
    </row>
    <row r="374" spans="1:3">
      <c r="A374">
        <v>3.8</v>
      </c>
      <c r="B374">
        <v>91</v>
      </c>
      <c r="C374" t="str">
        <f t="shared" si="8"/>
        <v>3.5–4.0</v>
      </c>
    </row>
    <row r="375" spans="1:3">
      <c r="A375">
        <v>5</v>
      </c>
      <c r="B375">
        <v>155</v>
      </c>
      <c r="C375" t="str">
        <f t="shared" si="8"/>
        <v>4.5+</v>
      </c>
    </row>
    <row r="376" spans="1:3">
      <c r="A376">
        <v>3.6</v>
      </c>
      <c r="B376">
        <v>129.5</v>
      </c>
      <c r="C376" t="str">
        <f t="shared" si="8"/>
        <v>3.5–4.0</v>
      </c>
    </row>
    <row r="377" spans="1:3">
      <c r="A377">
        <v>4</v>
      </c>
      <c r="B377">
        <v>167.5</v>
      </c>
      <c r="C377" t="str">
        <f t="shared" si="8"/>
        <v>4.0–4.5</v>
      </c>
    </row>
    <row r="378" spans="1:3">
      <c r="A378">
        <v>3.8</v>
      </c>
      <c r="B378">
        <v>60</v>
      </c>
      <c r="C378" t="str">
        <f t="shared" si="8"/>
        <v>3.5–4.0</v>
      </c>
    </row>
    <row r="379" spans="1:3">
      <c r="A379">
        <v>3.9</v>
      </c>
      <c r="B379">
        <v>180</v>
      </c>
      <c r="C379" t="str">
        <f t="shared" si="8"/>
        <v>3.5–4.0</v>
      </c>
    </row>
    <row r="380" spans="1:3">
      <c r="A380">
        <v>3.8</v>
      </c>
      <c r="B380">
        <v>65</v>
      </c>
      <c r="C380" t="str">
        <f t="shared" si="8"/>
        <v>3.5–4.0</v>
      </c>
    </row>
    <row r="381" spans="1:3">
      <c r="A381">
        <v>4.3</v>
      </c>
      <c r="B381">
        <v>112.5</v>
      </c>
      <c r="C381" t="str">
        <f t="shared" si="8"/>
        <v>4.0–4.5</v>
      </c>
    </row>
    <row r="382" spans="1:3">
      <c r="A382">
        <v>1.9</v>
      </c>
      <c r="B382">
        <v>87.5</v>
      </c>
      <c r="C382" t="str">
        <f t="shared" si="8"/>
        <v>Under 3.0</v>
      </c>
    </row>
    <row r="383" spans="1:3">
      <c r="A383">
        <v>3.3</v>
      </c>
      <c r="B383">
        <v>51.5</v>
      </c>
      <c r="C383" t="str">
        <f t="shared" si="8"/>
        <v>3.0–3.5</v>
      </c>
    </row>
    <row r="384" spans="1:3">
      <c r="A384">
        <v>4.7</v>
      </c>
      <c r="B384">
        <v>51</v>
      </c>
      <c r="C384" t="str">
        <f t="shared" si="8"/>
        <v>4.5+</v>
      </c>
    </row>
    <row r="385" spans="1:3">
      <c r="A385">
        <v>3.1</v>
      </c>
      <c r="B385">
        <v>62.5</v>
      </c>
      <c r="C385" t="str">
        <f t="shared" si="8"/>
        <v>3.0–3.5</v>
      </c>
    </row>
    <row r="386" spans="1:3">
      <c r="A386">
        <v>3.4</v>
      </c>
      <c r="B386">
        <v>100</v>
      </c>
      <c r="C386" t="str">
        <f t="shared" si="8"/>
        <v>3.0–3.5</v>
      </c>
    </row>
    <row r="387" spans="1:3">
      <c r="A387">
        <v>4.4000000000000004</v>
      </c>
      <c r="B387">
        <v>85</v>
      </c>
      <c r="C387" t="str">
        <f t="shared" si="8"/>
        <v>4.0–4.5</v>
      </c>
    </row>
    <row r="388" spans="1:3">
      <c r="A388">
        <v>3.9</v>
      </c>
      <c r="B388">
        <v>122</v>
      </c>
      <c r="C388" t="str">
        <f t="shared" si="8"/>
        <v>3.5–4.0</v>
      </c>
    </row>
    <row r="389" spans="1:3">
      <c r="A389">
        <v>3.9</v>
      </c>
      <c r="B389">
        <v>66.5</v>
      </c>
      <c r="C389" t="str">
        <f t="shared" si="8"/>
        <v>3.5–4.0</v>
      </c>
    </row>
    <row r="390" spans="1:3">
      <c r="A390">
        <v>4.7</v>
      </c>
      <c r="B390">
        <v>70.5</v>
      </c>
      <c r="C390" t="str">
        <f t="shared" si="8"/>
        <v>4.5+</v>
      </c>
    </row>
    <row r="391" spans="1:3">
      <c r="A391">
        <v>4.7</v>
      </c>
      <c r="B391">
        <v>138.5</v>
      </c>
      <c r="C391" t="str">
        <f t="shared" si="8"/>
        <v>4.5+</v>
      </c>
    </row>
    <row r="392" spans="1:3">
      <c r="A392">
        <v>3.4</v>
      </c>
      <c r="B392">
        <v>107.5</v>
      </c>
      <c r="C392" t="str">
        <f t="shared" si="8"/>
        <v>3.0–3.5</v>
      </c>
    </row>
    <row r="393" spans="1:3">
      <c r="A393">
        <v>3.8</v>
      </c>
      <c r="B393">
        <v>120.5</v>
      </c>
      <c r="C393" t="str">
        <f t="shared" si="8"/>
        <v>3.5–4.0</v>
      </c>
    </row>
    <row r="394" spans="1:3">
      <c r="A394">
        <v>2.7</v>
      </c>
      <c r="B394">
        <v>81</v>
      </c>
      <c r="C394" t="str">
        <f t="shared" si="8"/>
        <v>Under 3.0</v>
      </c>
    </row>
    <row r="395" spans="1:3">
      <c r="A395">
        <v>3.1</v>
      </c>
      <c r="B395">
        <v>103.5</v>
      </c>
      <c r="C395" t="str">
        <f t="shared" si="8"/>
        <v>3.0–3.5</v>
      </c>
    </row>
    <row r="396" spans="1:3">
      <c r="A396">
        <v>3.4</v>
      </c>
      <c r="B396">
        <v>107.5</v>
      </c>
      <c r="C396" t="str">
        <f t="shared" si="8"/>
        <v>3.0–3.5</v>
      </c>
    </row>
    <row r="397" spans="1:3">
      <c r="A397">
        <v>4</v>
      </c>
      <c r="B397">
        <v>162</v>
      </c>
      <c r="C397" t="str">
        <f t="shared" si="8"/>
        <v>4.0–4.5</v>
      </c>
    </row>
    <row r="398" spans="1:3">
      <c r="A398">
        <v>3.5</v>
      </c>
      <c r="B398">
        <v>68.5</v>
      </c>
      <c r="C398" t="str">
        <f t="shared" si="8"/>
        <v>3.5–4.0</v>
      </c>
    </row>
    <row r="399" spans="1:3">
      <c r="A399">
        <v>3.4</v>
      </c>
      <c r="B399">
        <v>110.5</v>
      </c>
      <c r="C399" t="str">
        <f t="shared" si="8"/>
        <v>3.0–3.5</v>
      </c>
    </row>
    <row r="400" spans="1:3">
      <c r="A400">
        <v>3.7</v>
      </c>
      <c r="B400">
        <v>81</v>
      </c>
      <c r="C400" t="str">
        <f t="shared" si="8"/>
        <v>3.5–4.0</v>
      </c>
    </row>
    <row r="401" spans="1:3">
      <c r="A401">
        <v>4.3</v>
      </c>
      <c r="B401">
        <v>130</v>
      </c>
      <c r="C401" t="str">
        <f t="shared" si="8"/>
        <v>4.0–4.5</v>
      </c>
    </row>
    <row r="402" spans="1:3">
      <c r="A402">
        <v>3.7</v>
      </c>
      <c r="B402">
        <v>115.5</v>
      </c>
      <c r="C402" t="str">
        <f t="shared" si="8"/>
        <v>3.5–4.0</v>
      </c>
    </row>
    <row r="403" spans="1:3">
      <c r="A403">
        <v>3.8</v>
      </c>
      <c r="B403">
        <v>80.5</v>
      </c>
      <c r="C403" t="str">
        <f t="shared" si="8"/>
        <v>3.5–4.0</v>
      </c>
    </row>
    <row r="404" spans="1:3">
      <c r="A404">
        <v>4.5999999999999996</v>
      </c>
      <c r="B404">
        <v>43</v>
      </c>
      <c r="C404" t="str">
        <f t="shared" si="8"/>
        <v>4.5+</v>
      </c>
    </row>
    <row r="405" spans="1:3">
      <c r="A405">
        <v>4.4000000000000004</v>
      </c>
      <c r="B405">
        <v>140</v>
      </c>
      <c r="C405" t="str">
        <f t="shared" si="8"/>
        <v>4.0–4.5</v>
      </c>
    </row>
    <row r="406" spans="1:3" hidden="1">
      <c r="A406">
        <v>-1</v>
      </c>
      <c r="B406">
        <v>120</v>
      </c>
    </row>
    <row r="407" spans="1:3">
      <c r="A407">
        <v>3</v>
      </c>
      <c r="B407">
        <v>66.5</v>
      </c>
      <c r="C407" t="str">
        <f t="shared" ref="C407:C457" si="9">IF(A407&lt;3,"Under 3.0",IF(A407&lt;3.5,"3.0–3.5",IF(A407&lt;4,"3.5–4.0",IF(A407&lt;4.5,"4.0–4.5","4.5+"))))</f>
        <v>3.0–3.5</v>
      </c>
    </row>
    <row r="408" spans="1:3">
      <c r="A408">
        <v>4.7</v>
      </c>
      <c r="B408">
        <v>94.5</v>
      </c>
      <c r="C408" t="str">
        <f t="shared" si="9"/>
        <v>4.5+</v>
      </c>
    </row>
    <row r="409" spans="1:3">
      <c r="A409">
        <v>3.8</v>
      </c>
      <c r="B409">
        <v>119</v>
      </c>
      <c r="C409" t="str">
        <f t="shared" si="9"/>
        <v>3.5–4.0</v>
      </c>
    </row>
    <row r="410" spans="1:3">
      <c r="A410">
        <v>3.2</v>
      </c>
      <c r="B410">
        <v>51.5</v>
      </c>
      <c r="C410" t="str">
        <f t="shared" si="9"/>
        <v>3.0–3.5</v>
      </c>
    </row>
    <row r="411" spans="1:3">
      <c r="A411">
        <v>2.7</v>
      </c>
      <c r="B411">
        <v>27.5</v>
      </c>
      <c r="C411" t="str">
        <f t="shared" si="9"/>
        <v>Under 3.0</v>
      </c>
    </row>
    <row r="412" spans="1:3">
      <c r="A412">
        <v>3.3</v>
      </c>
      <c r="B412">
        <v>194.5</v>
      </c>
      <c r="C412" t="str">
        <f t="shared" si="9"/>
        <v>3.0–3.5</v>
      </c>
    </row>
    <row r="413" spans="1:3">
      <c r="A413">
        <v>3.9</v>
      </c>
      <c r="B413">
        <v>71.5</v>
      </c>
      <c r="C413" t="str">
        <f t="shared" si="9"/>
        <v>3.5–4.0</v>
      </c>
    </row>
    <row r="414" spans="1:3">
      <c r="A414">
        <v>3.7</v>
      </c>
      <c r="B414">
        <v>105.5</v>
      </c>
      <c r="C414" t="str">
        <f t="shared" si="9"/>
        <v>3.5–4.0</v>
      </c>
    </row>
    <row r="415" spans="1:3">
      <c r="A415">
        <v>3.1</v>
      </c>
      <c r="B415">
        <v>74</v>
      </c>
      <c r="C415" t="str">
        <f t="shared" si="9"/>
        <v>3.0–3.5</v>
      </c>
    </row>
    <row r="416" spans="1:3">
      <c r="A416">
        <v>3.7</v>
      </c>
      <c r="B416">
        <v>62.5</v>
      </c>
      <c r="C416" t="str">
        <f t="shared" si="9"/>
        <v>3.5–4.0</v>
      </c>
    </row>
    <row r="417" spans="1:3">
      <c r="A417">
        <v>4.3</v>
      </c>
      <c r="B417">
        <v>65.5</v>
      </c>
      <c r="C417" t="str">
        <f t="shared" si="9"/>
        <v>4.0–4.5</v>
      </c>
    </row>
    <row r="418" spans="1:3">
      <c r="A418">
        <v>3.6</v>
      </c>
      <c r="B418">
        <v>161.5</v>
      </c>
      <c r="C418" t="str">
        <f t="shared" si="9"/>
        <v>3.5–4.0</v>
      </c>
    </row>
    <row r="419" spans="1:3">
      <c r="A419">
        <v>2.1</v>
      </c>
      <c r="B419">
        <v>72.5</v>
      </c>
      <c r="C419" t="str">
        <f t="shared" si="9"/>
        <v>Under 3.0</v>
      </c>
    </row>
    <row r="420" spans="1:3">
      <c r="A420">
        <v>3.9</v>
      </c>
      <c r="B420">
        <v>139</v>
      </c>
      <c r="C420" t="str">
        <f t="shared" si="9"/>
        <v>3.5–4.0</v>
      </c>
    </row>
    <row r="421" spans="1:3">
      <c r="A421">
        <v>3.9</v>
      </c>
      <c r="B421">
        <v>136.5</v>
      </c>
      <c r="C421" t="str">
        <f t="shared" si="9"/>
        <v>3.5–4.0</v>
      </c>
    </row>
    <row r="422" spans="1:3">
      <c r="A422">
        <v>3.8</v>
      </c>
      <c r="B422">
        <v>74.5</v>
      </c>
      <c r="C422" t="str">
        <f t="shared" si="9"/>
        <v>3.5–4.0</v>
      </c>
    </row>
    <row r="423" spans="1:3">
      <c r="A423">
        <v>3.1</v>
      </c>
      <c r="B423">
        <v>80.5</v>
      </c>
      <c r="C423" t="str">
        <f t="shared" si="9"/>
        <v>3.0–3.5</v>
      </c>
    </row>
    <row r="424" spans="1:3">
      <c r="A424">
        <v>3.5</v>
      </c>
      <c r="B424">
        <v>75.5</v>
      </c>
      <c r="C424" t="str">
        <f t="shared" si="9"/>
        <v>3.5–4.0</v>
      </c>
    </row>
    <row r="425" spans="1:3">
      <c r="A425">
        <v>4.7</v>
      </c>
      <c r="B425">
        <v>143.5</v>
      </c>
      <c r="C425" t="str">
        <f t="shared" si="9"/>
        <v>4.5+</v>
      </c>
    </row>
    <row r="426" spans="1:3">
      <c r="A426">
        <v>5</v>
      </c>
      <c r="B426">
        <v>101</v>
      </c>
      <c r="C426" t="str">
        <f t="shared" si="9"/>
        <v>4.5+</v>
      </c>
    </row>
    <row r="427" spans="1:3">
      <c r="A427">
        <v>3.6</v>
      </c>
      <c r="B427">
        <v>92</v>
      </c>
      <c r="C427" t="str">
        <f t="shared" si="9"/>
        <v>3.5–4.0</v>
      </c>
    </row>
    <row r="428" spans="1:3">
      <c r="A428">
        <v>3.8</v>
      </c>
      <c r="B428">
        <v>76.5</v>
      </c>
      <c r="C428" t="str">
        <f t="shared" si="9"/>
        <v>3.5–4.0</v>
      </c>
    </row>
    <row r="429" spans="1:3">
      <c r="A429">
        <v>4.7</v>
      </c>
      <c r="B429">
        <v>140.5</v>
      </c>
      <c r="C429" t="str">
        <f t="shared" si="9"/>
        <v>4.5+</v>
      </c>
    </row>
    <row r="430" spans="1:3">
      <c r="A430">
        <v>3.6</v>
      </c>
      <c r="B430">
        <v>116.5</v>
      </c>
      <c r="C430" t="str">
        <f t="shared" si="9"/>
        <v>3.5–4.0</v>
      </c>
    </row>
    <row r="431" spans="1:3">
      <c r="A431">
        <v>4.7</v>
      </c>
      <c r="B431">
        <v>232.5</v>
      </c>
      <c r="C431" t="str">
        <f t="shared" si="9"/>
        <v>4.5+</v>
      </c>
    </row>
    <row r="432" spans="1:3">
      <c r="A432">
        <v>3.5</v>
      </c>
      <c r="B432">
        <v>120.5</v>
      </c>
      <c r="C432" t="str">
        <f t="shared" si="9"/>
        <v>3.5–4.0</v>
      </c>
    </row>
    <row r="433" spans="1:3">
      <c r="A433">
        <v>3.5</v>
      </c>
      <c r="B433">
        <v>82</v>
      </c>
      <c r="C433" t="str">
        <f t="shared" si="9"/>
        <v>3.5–4.0</v>
      </c>
    </row>
    <row r="434" spans="1:3">
      <c r="A434">
        <v>3.3</v>
      </c>
      <c r="B434">
        <v>84.5</v>
      </c>
      <c r="C434" t="str">
        <f t="shared" si="9"/>
        <v>3.0–3.5</v>
      </c>
    </row>
    <row r="435" spans="1:3">
      <c r="A435">
        <v>2.7</v>
      </c>
      <c r="B435">
        <v>153</v>
      </c>
      <c r="C435" t="str">
        <f t="shared" si="9"/>
        <v>Under 3.0</v>
      </c>
    </row>
    <row r="436" spans="1:3">
      <c r="A436">
        <v>3.4</v>
      </c>
      <c r="B436">
        <v>127</v>
      </c>
      <c r="C436" t="str">
        <f t="shared" si="9"/>
        <v>3.0–3.5</v>
      </c>
    </row>
    <row r="437" spans="1:3">
      <c r="A437">
        <v>4.7</v>
      </c>
      <c r="B437">
        <v>85.5</v>
      </c>
      <c r="C437" t="str">
        <f t="shared" si="9"/>
        <v>4.5+</v>
      </c>
    </row>
    <row r="438" spans="1:3">
      <c r="A438">
        <v>2.8</v>
      </c>
      <c r="B438">
        <v>76.5</v>
      </c>
      <c r="C438" t="str">
        <f t="shared" si="9"/>
        <v>Under 3.0</v>
      </c>
    </row>
    <row r="439" spans="1:3">
      <c r="A439">
        <v>3.5</v>
      </c>
      <c r="B439">
        <v>128</v>
      </c>
      <c r="C439" t="str">
        <f t="shared" si="9"/>
        <v>3.5–4.0</v>
      </c>
    </row>
    <row r="440" spans="1:3">
      <c r="A440">
        <v>3.2</v>
      </c>
      <c r="B440">
        <v>91.5</v>
      </c>
      <c r="C440" t="str">
        <f t="shared" si="9"/>
        <v>3.0–3.5</v>
      </c>
    </row>
    <row r="441" spans="1:3">
      <c r="A441">
        <v>4.4000000000000004</v>
      </c>
      <c r="B441">
        <v>134.5</v>
      </c>
      <c r="C441" t="str">
        <f t="shared" si="9"/>
        <v>4.0–4.5</v>
      </c>
    </row>
    <row r="442" spans="1:3">
      <c r="A442">
        <v>3.3</v>
      </c>
      <c r="B442">
        <v>164.5</v>
      </c>
      <c r="C442" t="str">
        <f t="shared" si="9"/>
        <v>3.0–3.5</v>
      </c>
    </row>
    <row r="443" spans="1:3">
      <c r="A443">
        <v>4</v>
      </c>
      <c r="B443">
        <v>93.5</v>
      </c>
      <c r="C443" t="str">
        <f t="shared" si="9"/>
        <v>4.0–4.5</v>
      </c>
    </row>
    <row r="444" spans="1:3">
      <c r="A444">
        <v>3.4</v>
      </c>
      <c r="B444">
        <v>44</v>
      </c>
      <c r="C444" t="str">
        <f t="shared" si="9"/>
        <v>3.0–3.5</v>
      </c>
    </row>
    <row r="445" spans="1:3">
      <c r="A445">
        <v>3.8</v>
      </c>
      <c r="B445">
        <v>149.5</v>
      </c>
      <c r="C445" t="str">
        <f t="shared" si="9"/>
        <v>3.5–4.0</v>
      </c>
    </row>
    <row r="446" spans="1:3">
      <c r="A446">
        <v>3.5</v>
      </c>
      <c r="B446">
        <v>65.5</v>
      </c>
      <c r="C446" t="str">
        <f t="shared" si="9"/>
        <v>3.5–4.0</v>
      </c>
    </row>
    <row r="447" spans="1:3">
      <c r="A447">
        <v>4.4000000000000004</v>
      </c>
      <c r="B447">
        <v>109</v>
      </c>
      <c r="C447" t="str">
        <f t="shared" si="9"/>
        <v>4.0–4.5</v>
      </c>
    </row>
    <row r="448" spans="1:3">
      <c r="A448">
        <v>3.7</v>
      </c>
      <c r="B448">
        <v>177</v>
      </c>
      <c r="C448" t="str">
        <f t="shared" si="9"/>
        <v>3.5–4.0</v>
      </c>
    </row>
    <row r="449" spans="1:3">
      <c r="A449">
        <v>4.7</v>
      </c>
      <c r="B449">
        <v>107</v>
      </c>
      <c r="C449" t="str">
        <f t="shared" si="9"/>
        <v>4.5+</v>
      </c>
    </row>
    <row r="450" spans="1:3">
      <c r="A450">
        <v>4.0999999999999996</v>
      </c>
      <c r="B450">
        <v>154.5</v>
      </c>
      <c r="C450" t="str">
        <f t="shared" si="9"/>
        <v>4.0–4.5</v>
      </c>
    </row>
    <row r="451" spans="1:3">
      <c r="A451">
        <v>4</v>
      </c>
      <c r="B451">
        <v>113.5</v>
      </c>
      <c r="C451" t="str">
        <f t="shared" si="9"/>
        <v>4.0–4.5</v>
      </c>
    </row>
    <row r="452" spans="1:3">
      <c r="A452">
        <v>3.5</v>
      </c>
      <c r="B452">
        <v>124.5</v>
      </c>
      <c r="C452" t="str">
        <f t="shared" si="9"/>
        <v>3.5–4.0</v>
      </c>
    </row>
    <row r="453" spans="1:3">
      <c r="A453">
        <v>2.5</v>
      </c>
      <c r="B453">
        <v>143.5</v>
      </c>
      <c r="C453" t="str">
        <f t="shared" si="9"/>
        <v>Under 3.0</v>
      </c>
    </row>
    <row r="454" spans="1:3">
      <c r="A454">
        <v>3.9</v>
      </c>
      <c r="B454">
        <v>113.5</v>
      </c>
      <c r="C454" t="str">
        <f t="shared" si="9"/>
        <v>3.5–4.0</v>
      </c>
    </row>
    <row r="455" spans="1:3">
      <c r="A455">
        <v>3.4</v>
      </c>
      <c r="B455">
        <v>101.5</v>
      </c>
      <c r="C455" t="str">
        <f t="shared" si="9"/>
        <v>3.0–3.5</v>
      </c>
    </row>
    <row r="456" spans="1:3">
      <c r="A456">
        <v>3.6</v>
      </c>
      <c r="B456">
        <v>73</v>
      </c>
      <c r="C456" t="str">
        <f t="shared" si="9"/>
        <v>3.5–4.0</v>
      </c>
    </row>
    <row r="457" spans="1:3">
      <c r="A457">
        <v>3.5</v>
      </c>
      <c r="B457">
        <v>80.5</v>
      </c>
      <c r="C457" t="str">
        <f t="shared" si="9"/>
        <v>3.5–4.0</v>
      </c>
    </row>
    <row r="458" spans="1:3" hidden="1">
      <c r="A458">
        <v>-1</v>
      </c>
      <c r="B458">
        <v>110.5</v>
      </c>
    </row>
    <row r="459" spans="1:3">
      <c r="A459">
        <v>2.9</v>
      </c>
      <c r="B459">
        <v>114</v>
      </c>
      <c r="C459" t="str">
        <f t="shared" ref="C459:C522" si="10">IF(A459&lt;3,"Under 3.0",IF(A459&lt;3.5,"3.0–3.5",IF(A459&lt;4,"3.5–4.0",IF(A459&lt;4.5,"4.0–4.5","4.5+"))))</f>
        <v>Under 3.0</v>
      </c>
    </row>
    <row r="460" spans="1:3">
      <c r="A460">
        <v>3.5</v>
      </c>
      <c r="B460">
        <v>139.5</v>
      </c>
      <c r="C460" t="str">
        <f t="shared" si="10"/>
        <v>3.5–4.0</v>
      </c>
    </row>
    <row r="461" spans="1:3">
      <c r="A461">
        <v>4.8</v>
      </c>
      <c r="B461">
        <v>145.5</v>
      </c>
      <c r="C461" t="str">
        <f t="shared" si="10"/>
        <v>4.5+</v>
      </c>
    </row>
    <row r="462" spans="1:3">
      <c r="A462">
        <v>4</v>
      </c>
      <c r="B462">
        <v>87</v>
      </c>
      <c r="C462" t="str">
        <f t="shared" si="10"/>
        <v>4.0–4.5</v>
      </c>
    </row>
    <row r="463" spans="1:3">
      <c r="A463">
        <v>4.2</v>
      </c>
      <c r="B463">
        <v>100.5</v>
      </c>
      <c r="C463" t="str">
        <f t="shared" si="10"/>
        <v>4.0–4.5</v>
      </c>
    </row>
    <row r="464" spans="1:3">
      <c r="A464">
        <v>3.8</v>
      </c>
      <c r="B464">
        <v>147</v>
      </c>
      <c r="C464" t="str">
        <f t="shared" si="10"/>
        <v>3.5–4.0</v>
      </c>
    </row>
    <row r="465" spans="1:3">
      <c r="A465">
        <v>3.7</v>
      </c>
      <c r="B465">
        <v>110.5</v>
      </c>
      <c r="C465" t="str">
        <f t="shared" si="10"/>
        <v>3.5–4.0</v>
      </c>
    </row>
    <row r="466" spans="1:3">
      <c r="A466">
        <v>3.9</v>
      </c>
      <c r="B466">
        <v>49</v>
      </c>
      <c r="C466" t="str">
        <f t="shared" si="10"/>
        <v>3.5–4.0</v>
      </c>
    </row>
    <row r="467" spans="1:3">
      <c r="A467">
        <v>4.5999999999999996</v>
      </c>
      <c r="B467">
        <v>94</v>
      </c>
      <c r="C467" t="str">
        <f t="shared" si="10"/>
        <v>4.5+</v>
      </c>
    </row>
    <row r="468" spans="1:3">
      <c r="A468">
        <v>4.3</v>
      </c>
      <c r="B468">
        <v>123.5</v>
      </c>
      <c r="C468" t="str">
        <f t="shared" si="10"/>
        <v>4.0–4.5</v>
      </c>
    </row>
    <row r="469" spans="1:3">
      <c r="A469">
        <v>3.3</v>
      </c>
      <c r="B469">
        <v>84.5</v>
      </c>
      <c r="C469" t="str">
        <f t="shared" si="10"/>
        <v>3.0–3.5</v>
      </c>
    </row>
    <row r="470" spans="1:3">
      <c r="A470">
        <v>3.7</v>
      </c>
      <c r="B470">
        <v>71</v>
      </c>
      <c r="C470" t="str">
        <f t="shared" si="10"/>
        <v>3.5–4.0</v>
      </c>
    </row>
    <row r="471" spans="1:3">
      <c r="A471">
        <v>4</v>
      </c>
      <c r="B471">
        <v>73</v>
      </c>
      <c r="C471" t="str">
        <f t="shared" si="10"/>
        <v>4.0–4.5</v>
      </c>
    </row>
    <row r="472" spans="1:3">
      <c r="A472">
        <v>3.6</v>
      </c>
      <c r="B472">
        <v>101</v>
      </c>
      <c r="C472" t="str">
        <f t="shared" si="10"/>
        <v>3.5–4.0</v>
      </c>
    </row>
    <row r="473" spans="1:3">
      <c r="A473">
        <v>3.9</v>
      </c>
      <c r="B473">
        <v>181</v>
      </c>
      <c r="C473" t="str">
        <f t="shared" si="10"/>
        <v>3.5–4.0</v>
      </c>
    </row>
    <row r="474" spans="1:3">
      <c r="A474">
        <v>3.7</v>
      </c>
      <c r="B474">
        <v>109.5</v>
      </c>
      <c r="C474" t="str">
        <f t="shared" si="10"/>
        <v>3.5–4.0</v>
      </c>
    </row>
    <row r="475" spans="1:3">
      <c r="A475">
        <v>3.7</v>
      </c>
      <c r="B475">
        <v>184.5</v>
      </c>
      <c r="C475" t="str">
        <f t="shared" si="10"/>
        <v>3.5–4.0</v>
      </c>
    </row>
    <row r="476" spans="1:3">
      <c r="A476">
        <v>3.9</v>
      </c>
      <c r="B476">
        <v>165</v>
      </c>
      <c r="C476" t="str">
        <f t="shared" si="10"/>
        <v>3.5–4.0</v>
      </c>
    </row>
    <row r="477" spans="1:3">
      <c r="A477">
        <v>3.7</v>
      </c>
      <c r="B477">
        <v>61</v>
      </c>
      <c r="C477" t="str">
        <f t="shared" si="10"/>
        <v>3.5–4.0</v>
      </c>
    </row>
    <row r="478" spans="1:3">
      <c r="A478">
        <v>4.0999999999999996</v>
      </c>
      <c r="B478">
        <v>205</v>
      </c>
      <c r="C478" t="str">
        <f t="shared" si="10"/>
        <v>4.0–4.5</v>
      </c>
    </row>
    <row r="479" spans="1:3">
      <c r="A479">
        <v>3.1</v>
      </c>
      <c r="B479">
        <v>59.5</v>
      </c>
      <c r="C479" t="str">
        <f t="shared" si="10"/>
        <v>3.0–3.5</v>
      </c>
    </row>
    <row r="480" spans="1:3">
      <c r="A480">
        <v>3.1</v>
      </c>
      <c r="B480">
        <v>103.5</v>
      </c>
      <c r="C480" t="str">
        <f t="shared" si="10"/>
        <v>3.0–3.5</v>
      </c>
    </row>
    <row r="481" spans="1:3">
      <c r="A481">
        <v>3</v>
      </c>
      <c r="B481">
        <v>62.5</v>
      </c>
      <c r="C481" t="str">
        <f t="shared" si="10"/>
        <v>3.0–3.5</v>
      </c>
    </row>
    <row r="482" spans="1:3">
      <c r="A482">
        <v>3.6</v>
      </c>
      <c r="B482">
        <v>63</v>
      </c>
      <c r="C482" t="str">
        <f t="shared" si="10"/>
        <v>3.5–4.0</v>
      </c>
    </row>
    <row r="483" spans="1:3">
      <c r="A483">
        <v>3.6</v>
      </c>
      <c r="B483">
        <v>66</v>
      </c>
      <c r="C483" t="str">
        <f t="shared" si="10"/>
        <v>3.5–4.0</v>
      </c>
    </row>
    <row r="484" spans="1:3">
      <c r="A484">
        <v>3.5</v>
      </c>
      <c r="B484">
        <v>94.5</v>
      </c>
      <c r="C484" t="str">
        <f t="shared" si="10"/>
        <v>3.5–4.0</v>
      </c>
    </row>
    <row r="485" spans="1:3">
      <c r="A485">
        <v>4.2</v>
      </c>
      <c r="B485">
        <v>75.5</v>
      </c>
      <c r="C485" t="str">
        <f t="shared" si="10"/>
        <v>4.0–4.5</v>
      </c>
    </row>
    <row r="486" spans="1:3">
      <c r="A486">
        <v>4</v>
      </c>
      <c r="B486">
        <v>87</v>
      </c>
      <c r="C486" t="str">
        <f t="shared" si="10"/>
        <v>4.0–4.5</v>
      </c>
    </row>
    <row r="487" spans="1:3">
      <c r="A487">
        <v>3.9</v>
      </c>
      <c r="B487">
        <v>140</v>
      </c>
      <c r="C487" t="str">
        <f t="shared" si="10"/>
        <v>3.5–4.0</v>
      </c>
    </row>
    <row r="488" spans="1:3">
      <c r="A488">
        <v>3.7</v>
      </c>
      <c r="B488">
        <v>86</v>
      </c>
      <c r="C488" t="str">
        <f t="shared" si="10"/>
        <v>3.5–4.0</v>
      </c>
    </row>
    <row r="489" spans="1:3">
      <c r="A489">
        <v>4.4000000000000004</v>
      </c>
      <c r="B489">
        <v>116.5</v>
      </c>
      <c r="C489" t="str">
        <f t="shared" si="10"/>
        <v>4.0–4.5</v>
      </c>
    </row>
    <row r="490" spans="1:3">
      <c r="A490">
        <v>3.5</v>
      </c>
      <c r="B490">
        <v>154.5</v>
      </c>
      <c r="C490" t="str">
        <f t="shared" si="10"/>
        <v>3.5–4.0</v>
      </c>
    </row>
    <row r="491" spans="1:3">
      <c r="A491">
        <v>3.7</v>
      </c>
      <c r="B491">
        <v>87</v>
      </c>
      <c r="C491" t="str">
        <f t="shared" si="10"/>
        <v>3.5–4.0</v>
      </c>
    </row>
    <row r="492" spans="1:3">
      <c r="A492">
        <v>3.6</v>
      </c>
      <c r="B492">
        <v>48.5</v>
      </c>
      <c r="C492" t="str">
        <f t="shared" si="10"/>
        <v>3.5–4.0</v>
      </c>
    </row>
    <row r="493" spans="1:3">
      <c r="A493">
        <v>3.4</v>
      </c>
      <c r="B493">
        <v>80</v>
      </c>
      <c r="C493" t="str">
        <f t="shared" si="10"/>
        <v>3.0–3.5</v>
      </c>
    </row>
    <row r="494" spans="1:3">
      <c r="A494">
        <v>4</v>
      </c>
      <c r="B494">
        <v>44.5</v>
      </c>
      <c r="C494" t="str">
        <f t="shared" si="10"/>
        <v>4.0–4.5</v>
      </c>
    </row>
    <row r="495" spans="1:3">
      <c r="A495">
        <v>2.4</v>
      </c>
      <c r="B495">
        <v>52.5</v>
      </c>
      <c r="C495" t="str">
        <f t="shared" si="10"/>
        <v>Under 3.0</v>
      </c>
    </row>
    <row r="496" spans="1:3">
      <c r="A496">
        <v>3.7</v>
      </c>
      <c r="B496">
        <v>173</v>
      </c>
      <c r="C496" t="str">
        <f t="shared" si="10"/>
        <v>3.5–4.0</v>
      </c>
    </row>
    <row r="497" spans="1:3">
      <c r="A497">
        <v>3.5</v>
      </c>
      <c r="B497">
        <v>68.5</v>
      </c>
      <c r="C497" t="str">
        <f t="shared" si="10"/>
        <v>3.5–4.0</v>
      </c>
    </row>
    <row r="498" spans="1:3">
      <c r="A498">
        <v>4.4000000000000004</v>
      </c>
      <c r="B498">
        <v>172</v>
      </c>
      <c r="C498" t="str">
        <f t="shared" si="10"/>
        <v>4.0–4.5</v>
      </c>
    </row>
    <row r="499" spans="1:3">
      <c r="A499">
        <v>3.3</v>
      </c>
      <c r="B499">
        <v>114.5</v>
      </c>
      <c r="C499" t="str">
        <f t="shared" si="10"/>
        <v>3.0–3.5</v>
      </c>
    </row>
    <row r="500" spans="1:3">
      <c r="A500">
        <v>3.9</v>
      </c>
      <c r="B500">
        <v>95</v>
      </c>
      <c r="C500" t="str">
        <f t="shared" si="10"/>
        <v>3.5–4.0</v>
      </c>
    </row>
    <row r="501" spans="1:3">
      <c r="A501">
        <v>3.2</v>
      </c>
      <c r="B501">
        <v>69.5</v>
      </c>
      <c r="C501" t="str">
        <f t="shared" si="10"/>
        <v>3.0–3.5</v>
      </c>
    </row>
    <row r="502" spans="1:3">
      <c r="A502">
        <v>3.2</v>
      </c>
      <c r="B502">
        <v>64.5</v>
      </c>
      <c r="C502" t="str">
        <f t="shared" si="10"/>
        <v>3.0–3.5</v>
      </c>
    </row>
    <row r="503" spans="1:3">
      <c r="A503">
        <v>2.1</v>
      </c>
      <c r="B503">
        <v>111.5</v>
      </c>
      <c r="C503" t="str">
        <f t="shared" si="10"/>
        <v>Under 3.0</v>
      </c>
    </row>
    <row r="504" spans="1:3">
      <c r="A504">
        <v>4</v>
      </c>
      <c r="B504">
        <v>97.5</v>
      </c>
      <c r="C504" t="str">
        <f t="shared" si="10"/>
        <v>4.0–4.5</v>
      </c>
    </row>
    <row r="505" spans="1:3">
      <c r="A505">
        <v>3.7</v>
      </c>
      <c r="B505">
        <v>154.5</v>
      </c>
      <c r="C505" t="str">
        <f t="shared" si="10"/>
        <v>3.5–4.0</v>
      </c>
    </row>
    <row r="506" spans="1:3">
      <c r="A506">
        <v>2.6</v>
      </c>
      <c r="B506">
        <v>124</v>
      </c>
      <c r="C506" t="str">
        <f t="shared" si="10"/>
        <v>Under 3.0</v>
      </c>
    </row>
    <row r="507" spans="1:3">
      <c r="A507">
        <v>3.4</v>
      </c>
      <c r="B507">
        <v>95</v>
      </c>
      <c r="C507" t="str">
        <f t="shared" si="10"/>
        <v>3.0–3.5</v>
      </c>
    </row>
    <row r="508" spans="1:3">
      <c r="A508">
        <v>4.4000000000000004</v>
      </c>
      <c r="B508">
        <v>128.5</v>
      </c>
      <c r="C508" t="str">
        <f t="shared" si="10"/>
        <v>4.0–4.5</v>
      </c>
    </row>
    <row r="509" spans="1:3">
      <c r="A509">
        <v>3.2</v>
      </c>
      <c r="B509">
        <v>194</v>
      </c>
      <c r="C509" t="str">
        <f t="shared" si="10"/>
        <v>3.0–3.5</v>
      </c>
    </row>
    <row r="510" spans="1:3">
      <c r="A510">
        <v>3.5</v>
      </c>
      <c r="B510">
        <v>104.5</v>
      </c>
      <c r="C510" t="str">
        <f t="shared" si="10"/>
        <v>3.5–4.0</v>
      </c>
    </row>
    <row r="511" spans="1:3">
      <c r="A511">
        <v>3.7</v>
      </c>
      <c r="B511">
        <v>65</v>
      </c>
      <c r="C511" t="str">
        <f t="shared" si="10"/>
        <v>3.5–4.0</v>
      </c>
    </row>
    <row r="512" spans="1:3">
      <c r="A512">
        <v>4.2</v>
      </c>
      <c r="B512">
        <v>85.5</v>
      </c>
      <c r="C512" t="str">
        <f t="shared" si="10"/>
        <v>4.0–4.5</v>
      </c>
    </row>
    <row r="513" spans="1:3">
      <c r="A513">
        <v>4.2</v>
      </c>
      <c r="B513">
        <v>50</v>
      </c>
      <c r="C513" t="str">
        <f t="shared" si="10"/>
        <v>4.0–4.5</v>
      </c>
    </row>
    <row r="514" spans="1:3">
      <c r="A514">
        <v>3.1</v>
      </c>
      <c r="B514">
        <v>113</v>
      </c>
      <c r="C514" t="str">
        <f t="shared" si="10"/>
        <v>3.0–3.5</v>
      </c>
    </row>
    <row r="515" spans="1:3">
      <c r="A515">
        <v>3.9</v>
      </c>
      <c r="B515">
        <v>90.5</v>
      </c>
      <c r="C515" t="str">
        <f t="shared" si="10"/>
        <v>3.5–4.0</v>
      </c>
    </row>
    <row r="516" spans="1:3">
      <c r="A516">
        <v>4.3</v>
      </c>
      <c r="B516">
        <v>153</v>
      </c>
      <c r="C516" t="str">
        <f t="shared" si="10"/>
        <v>4.0–4.5</v>
      </c>
    </row>
    <row r="517" spans="1:3">
      <c r="A517">
        <v>3.3</v>
      </c>
      <c r="B517">
        <v>123.5</v>
      </c>
      <c r="C517" t="str">
        <f t="shared" si="10"/>
        <v>3.0–3.5</v>
      </c>
    </row>
    <row r="518" spans="1:3">
      <c r="A518">
        <v>3.9</v>
      </c>
      <c r="B518">
        <v>47</v>
      </c>
      <c r="C518" t="str">
        <f t="shared" si="10"/>
        <v>3.5–4.0</v>
      </c>
    </row>
    <row r="519" spans="1:3">
      <c r="A519">
        <v>3.5</v>
      </c>
      <c r="B519">
        <v>64</v>
      </c>
      <c r="C519" t="str">
        <f t="shared" si="10"/>
        <v>3.5–4.0</v>
      </c>
    </row>
    <row r="520" spans="1:3">
      <c r="A520">
        <v>4</v>
      </c>
      <c r="B520">
        <v>162</v>
      </c>
      <c r="C520" t="str">
        <f t="shared" si="10"/>
        <v>4.0–4.5</v>
      </c>
    </row>
    <row r="521" spans="1:3">
      <c r="A521">
        <v>3.9</v>
      </c>
      <c r="B521">
        <v>137</v>
      </c>
      <c r="C521" t="str">
        <f t="shared" si="10"/>
        <v>3.5–4.0</v>
      </c>
    </row>
    <row r="522" spans="1:3">
      <c r="A522">
        <v>3</v>
      </c>
      <c r="B522">
        <v>98</v>
      </c>
      <c r="C522" t="str">
        <f t="shared" si="10"/>
        <v>3.0–3.5</v>
      </c>
    </row>
    <row r="523" spans="1:3">
      <c r="A523">
        <v>3.7</v>
      </c>
      <c r="B523">
        <v>115</v>
      </c>
      <c r="C523" t="str">
        <f t="shared" ref="C523:C552" si="11">IF(A523&lt;3,"Under 3.0",IF(A523&lt;3.5,"3.0–3.5",IF(A523&lt;4,"3.5–4.0",IF(A523&lt;4.5,"4.0–4.5","4.5+"))))</f>
        <v>3.5–4.0</v>
      </c>
    </row>
    <row r="524" spans="1:3">
      <c r="A524">
        <v>3.5</v>
      </c>
      <c r="B524">
        <v>133.5</v>
      </c>
      <c r="C524" t="str">
        <f t="shared" si="11"/>
        <v>3.5–4.0</v>
      </c>
    </row>
    <row r="525" spans="1:3">
      <c r="A525">
        <v>4</v>
      </c>
      <c r="B525">
        <v>99</v>
      </c>
      <c r="C525" t="str">
        <f t="shared" si="11"/>
        <v>4.0–4.5</v>
      </c>
    </row>
    <row r="526" spans="1:3">
      <c r="A526">
        <v>3.3</v>
      </c>
      <c r="B526">
        <v>54</v>
      </c>
      <c r="C526" t="str">
        <f t="shared" si="11"/>
        <v>3.0–3.5</v>
      </c>
    </row>
    <row r="527" spans="1:3">
      <c r="A527">
        <v>3.2</v>
      </c>
      <c r="B527">
        <v>109</v>
      </c>
      <c r="C527" t="str">
        <f t="shared" si="11"/>
        <v>3.0–3.5</v>
      </c>
    </row>
    <row r="528" spans="1:3">
      <c r="A528">
        <v>3.4</v>
      </c>
      <c r="B528">
        <v>109</v>
      </c>
      <c r="C528" t="str">
        <f t="shared" si="11"/>
        <v>3.0–3.5</v>
      </c>
    </row>
    <row r="529" spans="1:3">
      <c r="A529">
        <v>4.4000000000000004</v>
      </c>
      <c r="B529">
        <v>139.5</v>
      </c>
      <c r="C529" t="str">
        <f t="shared" si="11"/>
        <v>4.0–4.5</v>
      </c>
    </row>
    <row r="530" spans="1:3">
      <c r="A530">
        <v>3.3</v>
      </c>
      <c r="B530">
        <v>254</v>
      </c>
      <c r="C530" t="str">
        <f t="shared" si="11"/>
        <v>3.0–3.5</v>
      </c>
    </row>
    <row r="531" spans="1:3">
      <c r="A531">
        <v>3.2</v>
      </c>
      <c r="B531">
        <v>125</v>
      </c>
      <c r="C531" t="str">
        <f t="shared" si="11"/>
        <v>3.0–3.5</v>
      </c>
    </row>
    <row r="532" spans="1:3">
      <c r="A532">
        <v>3.8</v>
      </c>
      <c r="B532">
        <v>106.5</v>
      </c>
      <c r="C532" t="str">
        <f t="shared" si="11"/>
        <v>3.5–4.0</v>
      </c>
    </row>
    <row r="533" spans="1:3">
      <c r="A533">
        <v>2.9</v>
      </c>
      <c r="B533">
        <v>73</v>
      </c>
      <c r="C533" t="str">
        <f t="shared" si="11"/>
        <v>Under 3.0</v>
      </c>
    </row>
    <row r="534" spans="1:3">
      <c r="A534">
        <v>2.7</v>
      </c>
      <c r="B534">
        <v>81</v>
      </c>
      <c r="C534" t="str">
        <f t="shared" si="11"/>
        <v>Under 3.0</v>
      </c>
    </row>
    <row r="535" spans="1:3">
      <c r="A535">
        <v>3.6</v>
      </c>
      <c r="B535">
        <v>56.5</v>
      </c>
      <c r="C535" t="str">
        <f t="shared" si="11"/>
        <v>3.5–4.0</v>
      </c>
    </row>
    <row r="536" spans="1:3">
      <c r="A536">
        <v>3.1</v>
      </c>
      <c r="B536">
        <v>99.5</v>
      </c>
      <c r="C536" t="str">
        <f t="shared" si="11"/>
        <v>3.0–3.5</v>
      </c>
    </row>
    <row r="537" spans="1:3">
      <c r="A537">
        <v>3.3</v>
      </c>
      <c r="B537">
        <v>45.5</v>
      </c>
      <c r="C537" t="str">
        <f t="shared" si="11"/>
        <v>3.0–3.5</v>
      </c>
    </row>
    <row r="538" spans="1:3">
      <c r="A538">
        <v>3.7</v>
      </c>
      <c r="B538">
        <v>54</v>
      </c>
      <c r="C538" t="str">
        <f t="shared" si="11"/>
        <v>3.5–4.0</v>
      </c>
    </row>
    <row r="539" spans="1:3">
      <c r="A539">
        <v>4.5</v>
      </c>
      <c r="B539">
        <v>122.5</v>
      </c>
      <c r="C539" t="str">
        <f t="shared" si="11"/>
        <v>4.5+</v>
      </c>
    </row>
    <row r="540" spans="1:3">
      <c r="A540">
        <v>3</v>
      </c>
      <c r="B540">
        <v>37.5</v>
      </c>
      <c r="C540" t="str">
        <f t="shared" si="11"/>
        <v>3.0–3.5</v>
      </c>
    </row>
    <row r="541" spans="1:3">
      <c r="A541">
        <v>3.8</v>
      </c>
      <c r="B541">
        <v>53.5</v>
      </c>
      <c r="C541" t="str">
        <f t="shared" si="11"/>
        <v>3.5–4.0</v>
      </c>
    </row>
    <row r="542" spans="1:3">
      <c r="A542">
        <v>3.9</v>
      </c>
      <c r="B542">
        <v>140</v>
      </c>
      <c r="C542" t="str">
        <f t="shared" si="11"/>
        <v>3.5–4.0</v>
      </c>
    </row>
    <row r="543" spans="1:3">
      <c r="A543">
        <v>3.2</v>
      </c>
      <c r="B543">
        <v>77.5</v>
      </c>
      <c r="C543" t="str">
        <f t="shared" si="11"/>
        <v>3.0–3.5</v>
      </c>
    </row>
    <row r="544" spans="1:3">
      <c r="A544">
        <v>3.3</v>
      </c>
      <c r="B544">
        <v>55</v>
      </c>
      <c r="C544" t="str">
        <f t="shared" si="11"/>
        <v>3.0–3.5</v>
      </c>
    </row>
    <row r="545" spans="1:3">
      <c r="A545">
        <v>3.1</v>
      </c>
      <c r="B545">
        <v>117.5</v>
      </c>
      <c r="C545" t="str">
        <f t="shared" si="11"/>
        <v>3.0–3.5</v>
      </c>
    </row>
    <row r="546" spans="1:3">
      <c r="A546">
        <v>2.4</v>
      </c>
      <c r="B546">
        <v>70.5</v>
      </c>
      <c r="C546" t="str">
        <f t="shared" si="11"/>
        <v>Under 3.0</v>
      </c>
    </row>
    <row r="547" spans="1:3">
      <c r="A547">
        <v>2.9</v>
      </c>
      <c r="B547">
        <v>70</v>
      </c>
      <c r="C547" t="str">
        <f t="shared" si="11"/>
        <v>Under 3.0</v>
      </c>
    </row>
    <row r="548" spans="1:3">
      <c r="A548">
        <v>4.8</v>
      </c>
      <c r="B548">
        <v>61.5</v>
      </c>
      <c r="C548" t="str">
        <f t="shared" si="11"/>
        <v>4.5+</v>
      </c>
    </row>
    <row r="549" spans="1:3">
      <c r="A549">
        <v>2.9</v>
      </c>
      <c r="B549">
        <v>80</v>
      </c>
      <c r="C549" t="str">
        <f t="shared" si="11"/>
        <v>Under 3.0</v>
      </c>
    </row>
    <row r="550" spans="1:3">
      <c r="A550">
        <v>4.7</v>
      </c>
      <c r="B550">
        <v>79.5</v>
      </c>
      <c r="C550" t="str">
        <f t="shared" si="11"/>
        <v>4.5+</v>
      </c>
    </row>
    <row r="551" spans="1:3">
      <c r="A551">
        <v>4.7</v>
      </c>
      <c r="B551">
        <v>168</v>
      </c>
      <c r="C551" t="str">
        <f t="shared" si="11"/>
        <v>4.5+</v>
      </c>
    </row>
    <row r="552" spans="1:3">
      <c r="A552">
        <v>3.4</v>
      </c>
      <c r="B552">
        <v>90</v>
      </c>
      <c r="C552" t="str">
        <f t="shared" si="11"/>
        <v>3.0–3.5</v>
      </c>
    </row>
    <row r="553" spans="1:3" hidden="1">
      <c r="A553">
        <v>-1</v>
      </c>
      <c r="B553">
        <v>120</v>
      </c>
    </row>
    <row r="554" spans="1:3">
      <c r="A554">
        <v>3.9</v>
      </c>
      <c r="B554">
        <v>138.5</v>
      </c>
      <c r="C554" t="str">
        <f t="shared" ref="C554:C582" si="12">IF(A554&lt;3,"Under 3.0",IF(A554&lt;3.5,"3.0–3.5",IF(A554&lt;4,"3.5–4.0",IF(A554&lt;4.5,"4.0–4.5","4.5+"))))</f>
        <v>3.5–4.0</v>
      </c>
    </row>
    <row r="555" spans="1:3">
      <c r="A555">
        <v>3.6</v>
      </c>
      <c r="B555">
        <v>111.5</v>
      </c>
      <c r="C555" t="str">
        <f t="shared" si="12"/>
        <v>3.5–4.0</v>
      </c>
    </row>
    <row r="556" spans="1:3">
      <c r="A556">
        <v>3.6</v>
      </c>
      <c r="B556">
        <v>68.5</v>
      </c>
      <c r="C556" t="str">
        <f t="shared" si="12"/>
        <v>3.5–4.0</v>
      </c>
    </row>
    <row r="557" spans="1:3">
      <c r="A557">
        <v>3.9</v>
      </c>
      <c r="B557">
        <v>84.5</v>
      </c>
      <c r="C557" t="str">
        <f t="shared" si="12"/>
        <v>3.5–4.0</v>
      </c>
    </row>
    <row r="558" spans="1:3">
      <c r="A558">
        <v>4.4000000000000004</v>
      </c>
      <c r="B558">
        <v>102.5</v>
      </c>
      <c r="C558" t="str">
        <f t="shared" si="12"/>
        <v>4.0–4.5</v>
      </c>
    </row>
    <row r="559" spans="1:3">
      <c r="A559">
        <v>2.6</v>
      </c>
      <c r="B559">
        <v>73.5</v>
      </c>
      <c r="C559" t="str">
        <f t="shared" si="12"/>
        <v>Under 3.0</v>
      </c>
    </row>
    <row r="560" spans="1:3">
      <c r="A560">
        <v>3.6</v>
      </c>
      <c r="B560">
        <v>93.5</v>
      </c>
      <c r="C560" t="str">
        <f t="shared" si="12"/>
        <v>3.5–4.0</v>
      </c>
    </row>
    <row r="561" spans="1:3">
      <c r="A561">
        <v>3.2</v>
      </c>
      <c r="B561">
        <v>127.5</v>
      </c>
      <c r="C561" t="str">
        <f t="shared" si="12"/>
        <v>3.0–3.5</v>
      </c>
    </row>
    <row r="562" spans="1:3">
      <c r="A562">
        <v>4.2</v>
      </c>
      <c r="B562">
        <v>72</v>
      </c>
      <c r="C562" t="str">
        <f t="shared" si="12"/>
        <v>4.0–4.5</v>
      </c>
    </row>
    <row r="563" spans="1:3">
      <c r="A563">
        <v>3.6</v>
      </c>
      <c r="B563">
        <v>129.5</v>
      </c>
      <c r="C563" t="str">
        <f t="shared" si="12"/>
        <v>3.5–4.0</v>
      </c>
    </row>
    <row r="564" spans="1:3">
      <c r="A564">
        <v>3.1</v>
      </c>
      <c r="B564">
        <v>47</v>
      </c>
      <c r="C564" t="str">
        <f t="shared" si="12"/>
        <v>3.0–3.5</v>
      </c>
    </row>
    <row r="565" spans="1:3">
      <c r="A565">
        <v>3.8</v>
      </c>
      <c r="B565">
        <v>65</v>
      </c>
      <c r="C565" t="str">
        <f t="shared" si="12"/>
        <v>3.5–4.0</v>
      </c>
    </row>
    <row r="566" spans="1:3">
      <c r="A566">
        <v>3.8</v>
      </c>
      <c r="B566">
        <v>60</v>
      </c>
      <c r="C566" t="str">
        <f t="shared" si="12"/>
        <v>3.5–4.0</v>
      </c>
    </row>
    <row r="567" spans="1:3">
      <c r="A567">
        <v>4</v>
      </c>
      <c r="B567">
        <v>167.5</v>
      </c>
      <c r="C567" t="str">
        <f t="shared" si="12"/>
        <v>4.0–4.5</v>
      </c>
    </row>
    <row r="568" spans="1:3">
      <c r="A568">
        <v>3.8</v>
      </c>
      <c r="B568">
        <v>65</v>
      </c>
      <c r="C568" t="str">
        <f t="shared" si="12"/>
        <v>3.5–4.0</v>
      </c>
    </row>
    <row r="569" spans="1:3">
      <c r="A569">
        <v>4</v>
      </c>
      <c r="B569">
        <v>94</v>
      </c>
      <c r="C569" t="str">
        <f t="shared" si="12"/>
        <v>4.0–4.5</v>
      </c>
    </row>
    <row r="570" spans="1:3">
      <c r="A570">
        <v>1.9</v>
      </c>
      <c r="B570">
        <v>87.5</v>
      </c>
      <c r="C570" t="str">
        <f t="shared" si="12"/>
        <v>Under 3.0</v>
      </c>
    </row>
    <row r="571" spans="1:3">
      <c r="A571">
        <v>4</v>
      </c>
      <c r="B571">
        <v>97</v>
      </c>
      <c r="C571" t="str">
        <f t="shared" si="12"/>
        <v>4.0–4.5</v>
      </c>
    </row>
    <row r="572" spans="1:3">
      <c r="A572">
        <v>4.3</v>
      </c>
      <c r="B572">
        <v>112.5</v>
      </c>
      <c r="C572" t="str">
        <f t="shared" si="12"/>
        <v>4.0–4.5</v>
      </c>
    </row>
    <row r="573" spans="1:3">
      <c r="A573">
        <v>3.6</v>
      </c>
      <c r="B573">
        <v>91.5</v>
      </c>
      <c r="C573" t="str">
        <f t="shared" si="12"/>
        <v>3.5–4.0</v>
      </c>
    </row>
    <row r="574" spans="1:3">
      <c r="A574">
        <v>3.3</v>
      </c>
      <c r="B574">
        <v>51.5</v>
      </c>
      <c r="C574" t="str">
        <f t="shared" si="12"/>
        <v>3.0–3.5</v>
      </c>
    </row>
    <row r="575" spans="1:3">
      <c r="A575">
        <v>3.8</v>
      </c>
      <c r="B575">
        <v>114.5</v>
      </c>
      <c r="C575" t="str">
        <f t="shared" si="12"/>
        <v>3.5–4.0</v>
      </c>
    </row>
    <row r="576" spans="1:3">
      <c r="A576">
        <v>4.3</v>
      </c>
      <c r="B576">
        <v>115</v>
      </c>
      <c r="C576" t="str">
        <f t="shared" si="12"/>
        <v>4.0–4.5</v>
      </c>
    </row>
    <row r="577" spans="1:3">
      <c r="A577">
        <v>3.2</v>
      </c>
      <c r="B577">
        <v>74</v>
      </c>
      <c r="C577" t="str">
        <f t="shared" si="12"/>
        <v>3.0–3.5</v>
      </c>
    </row>
    <row r="578" spans="1:3">
      <c r="A578">
        <v>4.7</v>
      </c>
      <c r="B578">
        <v>51</v>
      </c>
      <c r="C578" t="str">
        <f t="shared" si="12"/>
        <v>4.5+</v>
      </c>
    </row>
    <row r="579" spans="1:3">
      <c r="A579">
        <v>3.4</v>
      </c>
      <c r="B579">
        <v>100</v>
      </c>
      <c r="C579" t="str">
        <f t="shared" si="12"/>
        <v>3.0–3.5</v>
      </c>
    </row>
    <row r="580" spans="1:3">
      <c r="A580">
        <v>3.8</v>
      </c>
      <c r="B580">
        <v>121</v>
      </c>
      <c r="C580" t="str">
        <f t="shared" si="12"/>
        <v>3.5–4.0</v>
      </c>
    </row>
    <row r="581" spans="1:3">
      <c r="A581">
        <v>4.5</v>
      </c>
      <c r="B581">
        <v>121.5</v>
      </c>
      <c r="C581" t="str">
        <f t="shared" si="12"/>
        <v>4.5+</v>
      </c>
    </row>
    <row r="582" spans="1:3">
      <c r="A582">
        <v>3.1</v>
      </c>
      <c r="B582">
        <v>62.5</v>
      </c>
      <c r="C582" t="str">
        <f t="shared" si="12"/>
        <v>3.0–3.5</v>
      </c>
    </row>
    <row r="583" spans="1:3" hidden="1">
      <c r="A583">
        <v>-1</v>
      </c>
      <c r="B583">
        <v>117.5</v>
      </c>
    </row>
    <row r="584" spans="1:3">
      <c r="A584">
        <v>3.9</v>
      </c>
      <c r="B584">
        <v>122</v>
      </c>
      <c r="C584" t="str">
        <f t="shared" ref="C584:C610" si="13">IF(A584&lt;3,"Under 3.0",IF(A584&lt;3.5,"3.0–3.5",IF(A584&lt;4,"3.5–4.0",IF(A584&lt;4.5,"4.0–4.5","4.5+"))))</f>
        <v>3.5–4.0</v>
      </c>
    </row>
    <row r="585" spans="1:3">
      <c r="A585">
        <v>4.4000000000000004</v>
      </c>
      <c r="B585">
        <v>85</v>
      </c>
      <c r="C585" t="str">
        <f t="shared" si="13"/>
        <v>4.0–4.5</v>
      </c>
    </row>
    <row r="586" spans="1:3">
      <c r="A586">
        <v>3.4</v>
      </c>
      <c r="B586">
        <v>60.5</v>
      </c>
      <c r="C586" t="str">
        <f t="shared" si="13"/>
        <v>3.0–3.5</v>
      </c>
    </row>
    <row r="587" spans="1:3">
      <c r="A587">
        <v>3.9</v>
      </c>
      <c r="B587">
        <v>180</v>
      </c>
      <c r="C587" t="str">
        <f t="shared" si="13"/>
        <v>3.5–4.0</v>
      </c>
    </row>
    <row r="588" spans="1:3">
      <c r="A588">
        <v>4.7</v>
      </c>
      <c r="B588">
        <v>70.5</v>
      </c>
      <c r="C588" t="str">
        <f t="shared" si="13"/>
        <v>4.5+</v>
      </c>
    </row>
    <row r="589" spans="1:3">
      <c r="A589">
        <v>3.3</v>
      </c>
      <c r="B589">
        <v>118.5</v>
      </c>
      <c r="C589" t="str">
        <f t="shared" si="13"/>
        <v>3.0–3.5</v>
      </c>
    </row>
    <row r="590" spans="1:3">
      <c r="A590">
        <v>3.9</v>
      </c>
      <c r="B590">
        <v>66.5</v>
      </c>
      <c r="C590" t="str">
        <f t="shared" si="13"/>
        <v>3.5–4.0</v>
      </c>
    </row>
    <row r="591" spans="1:3">
      <c r="A591">
        <v>3.4</v>
      </c>
      <c r="B591">
        <v>107.5</v>
      </c>
      <c r="C591" t="str">
        <f t="shared" si="13"/>
        <v>3.0–3.5</v>
      </c>
    </row>
    <row r="592" spans="1:3">
      <c r="A592">
        <v>4.7</v>
      </c>
      <c r="B592">
        <v>138.5</v>
      </c>
      <c r="C592" t="str">
        <f t="shared" si="13"/>
        <v>4.5+</v>
      </c>
    </row>
    <row r="593" spans="1:3">
      <c r="A593">
        <v>2.7</v>
      </c>
      <c r="B593">
        <v>81</v>
      </c>
      <c r="C593" t="str">
        <f t="shared" si="13"/>
        <v>Under 3.0</v>
      </c>
    </row>
    <row r="594" spans="1:3">
      <c r="A594">
        <v>3.8</v>
      </c>
      <c r="B594">
        <v>58.5</v>
      </c>
      <c r="C594" t="str">
        <f t="shared" si="13"/>
        <v>3.5–4.0</v>
      </c>
    </row>
    <row r="595" spans="1:3">
      <c r="A595">
        <v>3.4</v>
      </c>
      <c r="B595">
        <v>107.5</v>
      </c>
      <c r="C595" t="str">
        <f t="shared" si="13"/>
        <v>3.0–3.5</v>
      </c>
    </row>
    <row r="596" spans="1:3">
      <c r="A596">
        <v>3.8</v>
      </c>
      <c r="B596">
        <v>120.5</v>
      </c>
      <c r="C596" t="str">
        <f t="shared" si="13"/>
        <v>3.5–4.0</v>
      </c>
    </row>
    <row r="597" spans="1:3">
      <c r="A597">
        <v>3.9</v>
      </c>
      <c r="B597">
        <v>63.5</v>
      </c>
      <c r="C597" t="str">
        <f t="shared" si="13"/>
        <v>3.5–4.0</v>
      </c>
    </row>
    <row r="598" spans="1:3">
      <c r="A598">
        <v>3.1</v>
      </c>
      <c r="B598">
        <v>103.5</v>
      </c>
      <c r="C598" t="str">
        <f t="shared" si="13"/>
        <v>3.0–3.5</v>
      </c>
    </row>
    <row r="599" spans="1:3">
      <c r="A599">
        <v>4.0999999999999996</v>
      </c>
      <c r="B599">
        <v>107</v>
      </c>
      <c r="C599" t="str">
        <f t="shared" si="13"/>
        <v>4.0–4.5</v>
      </c>
    </row>
    <row r="600" spans="1:3">
      <c r="A600">
        <v>3.7</v>
      </c>
      <c r="B600">
        <v>105.5</v>
      </c>
      <c r="C600" t="str">
        <f t="shared" si="13"/>
        <v>3.5–4.0</v>
      </c>
    </row>
    <row r="601" spans="1:3">
      <c r="A601">
        <v>2.8</v>
      </c>
      <c r="B601">
        <v>83</v>
      </c>
      <c r="C601" t="str">
        <f t="shared" si="13"/>
        <v>Under 3.0</v>
      </c>
    </row>
    <row r="602" spans="1:3">
      <c r="A602">
        <v>4</v>
      </c>
      <c r="B602">
        <v>162</v>
      </c>
      <c r="C602" t="str">
        <f t="shared" si="13"/>
        <v>4.0–4.5</v>
      </c>
    </row>
    <row r="603" spans="1:3">
      <c r="A603">
        <v>3.5</v>
      </c>
      <c r="B603">
        <v>68.5</v>
      </c>
      <c r="C603" t="str">
        <f t="shared" si="13"/>
        <v>3.5–4.0</v>
      </c>
    </row>
    <row r="604" spans="1:3">
      <c r="A604">
        <v>3.4</v>
      </c>
      <c r="B604">
        <v>110.5</v>
      </c>
      <c r="C604" t="str">
        <f t="shared" si="13"/>
        <v>3.0–3.5</v>
      </c>
    </row>
    <row r="605" spans="1:3">
      <c r="A605">
        <v>3.7</v>
      </c>
      <c r="B605">
        <v>115.5</v>
      </c>
      <c r="C605" t="str">
        <f t="shared" si="13"/>
        <v>3.5–4.0</v>
      </c>
    </row>
    <row r="606" spans="1:3">
      <c r="A606">
        <v>3</v>
      </c>
      <c r="B606">
        <v>87.5</v>
      </c>
      <c r="C606" t="str">
        <f t="shared" si="13"/>
        <v>3.0–3.5</v>
      </c>
    </row>
    <row r="607" spans="1:3">
      <c r="A607">
        <v>3.8</v>
      </c>
      <c r="B607">
        <v>80.5</v>
      </c>
      <c r="C607" t="str">
        <f t="shared" si="13"/>
        <v>3.5–4.0</v>
      </c>
    </row>
    <row r="608" spans="1:3">
      <c r="A608">
        <v>4.5999999999999996</v>
      </c>
      <c r="B608">
        <v>43</v>
      </c>
      <c r="C608" t="str">
        <f t="shared" si="13"/>
        <v>4.5+</v>
      </c>
    </row>
    <row r="609" spans="1:3">
      <c r="A609">
        <v>4.4000000000000004</v>
      </c>
      <c r="B609">
        <v>140</v>
      </c>
      <c r="C609" t="str">
        <f t="shared" si="13"/>
        <v>4.0–4.5</v>
      </c>
    </row>
    <row r="610" spans="1:3">
      <c r="A610">
        <v>4</v>
      </c>
      <c r="B610">
        <v>172</v>
      </c>
      <c r="C610" t="str">
        <f t="shared" si="13"/>
        <v>4.0–4.5</v>
      </c>
    </row>
    <row r="611" spans="1:3" hidden="1">
      <c r="A611">
        <v>-1</v>
      </c>
      <c r="B611">
        <v>120</v>
      </c>
    </row>
    <row r="612" spans="1:3">
      <c r="A612">
        <v>3</v>
      </c>
      <c r="B612">
        <v>66.5</v>
      </c>
      <c r="C612" t="str">
        <f t="shared" ref="C612:C642" si="14">IF(A612&lt;3,"Under 3.0",IF(A612&lt;3.5,"3.0–3.5",IF(A612&lt;4,"3.5–4.0",IF(A612&lt;4.5,"4.0–4.5","4.5+"))))</f>
        <v>3.0–3.5</v>
      </c>
    </row>
    <row r="613" spans="1:3">
      <c r="A613">
        <v>3</v>
      </c>
      <c r="B613">
        <v>100</v>
      </c>
      <c r="C613" t="str">
        <f t="shared" si="14"/>
        <v>3.0–3.5</v>
      </c>
    </row>
    <row r="614" spans="1:3">
      <c r="A614">
        <v>4.7</v>
      </c>
      <c r="B614">
        <v>94.5</v>
      </c>
      <c r="C614" t="str">
        <f t="shared" si="14"/>
        <v>4.5+</v>
      </c>
    </row>
    <row r="615" spans="1:3">
      <c r="A615">
        <v>4.2</v>
      </c>
      <c r="B615">
        <v>221.5</v>
      </c>
      <c r="C615" t="str">
        <f t="shared" si="14"/>
        <v>4.0–4.5</v>
      </c>
    </row>
    <row r="616" spans="1:3">
      <c r="A616">
        <v>3.8</v>
      </c>
      <c r="B616">
        <v>119</v>
      </c>
      <c r="C616" t="str">
        <f t="shared" si="14"/>
        <v>3.5–4.0</v>
      </c>
    </row>
    <row r="617" spans="1:3">
      <c r="A617">
        <v>3.5</v>
      </c>
      <c r="B617">
        <v>95.5</v>
      </c>
      <c r="C617" t="str">
        <f t="shared" si="14"/>
        <v>3.5–4.0</v>
      </c>
    </row>
    <row r="618" spans="1:3">
      <c r="A618">
        <v>3.3</v>
      </c>
      <c r="B618">
        <v>194.5</v>
      </c>
      <c r="C618" t="str">
        <f t="shared" si="14"/>
        <v>3.0–3.5</v>
      </c>
    </row>
    <row r="619" spans="1:3">
      <c r="A619">
        <v>3.2</v>
      </c>
      <c r="B619">
        <v>51.5</v>
      </c>
      <c r="C619" t="str">
        <f t="shared" si="14"/>
        <v>3.0–3.5</v>
      </c>
    </row>
    <row r="620" spans="1:3">
      <c r="A620">
        <v>2.7</v>
      </c>
      <c r="B620">
        <v>27.5</v>
      </c>
      <c r="C620" t="str">
        <f t="shared" si="14"/>
        <v>Under 3.0</v>
      </c>
    </row>
    <row r="621" spans="1:3">
      <c r="A621">
        <v>3.3</v>
      </c>
      <c r="B621">
        <v>173</v>
      </c>
      <c r="C621" t="str">
        <f t="shared" si="14"/>
        <v>3.0–3.5</v>
      </c>
    </row>
    <row r="622" spans="1:3">
      <c r="A622">
        <v>3.7</v>
      </c>
      <c r="B622">
        <v>105.5</v>
      </c>
      <c r="C622" t="str">
        <f t="shared" si="14"/>
        <v>3.5–4.0</v>
      </c>
    </row>
    <row r="623" spans="1:3">
      <c r="A623">
        <v>3.9</v>
      </c>
      <c r="B623">
        <v>71.5</v>
      </c>
      <c r="C623" t="str">
        <f t="shared" si="14"/>
        <v>3.5–4.0</v>
      </c>
    </row>
    <row r="624" spans="1:3">
      <c r="A624">
        <v>3.1</v>
      </c>
      <c r="B624">
        <v>74</v>
      </c>
      <c r="C624" t="str">
        <f t="shared" si="14"/>
        <v>3.0–3.5</v>
      </c>
    </row>
    <row r="625" spans="1:3">
      <c r="A625">
        <v>3.7</v>
      </c>
      <c r="B625">
        <v>62.5</v>
      </c>
      <c r="C625" t="str">
        <f t="shared" si="14"/>
        <v>3.5–4.0</v>
      </c>
    </row>
    <row r="626" spans="1:3">
      <c r="A626">
        <v>4.3</v>
      </c>
      <c r="B626">
        <v>65.5</v>
      </c>
      <c r="C626" t="str">
        <f t="shared" si="14"/>
        <v>4.0–4.5</v>
      </c>
    </row>
    <row r="627" spans="1:3">
      <c r="A627">
        <v>3.8</v>
      </c>
      <c r="B627">
        <v>85</v>
      </c>
      <c r="C627" t="str">
        <f t="shared" si="14"/>
        <v>3.5–4.0</v>
      </c>
    </row>
    <row r="628" spans="1:3">
      <c r="A628">
        <v>3.9</v>
      </c>
      <c r="B628">
        <v>147.5</v>
      </c>
      <c r="C628" t="str">
        <f t="shared" si="14"/>
        <v>3.5–4.0</v>
      </c>
    </row>
    <row r="629" spans="1:3">
      <c r="A629">
        <v>3.6</v>
      </c>
      <c r="B629">
        <v>161.5</v>
      </c>
      <c r="C629" t="str">
        <f t="shared" si="14"/>
        <v>3.5–4.0</v>
      </c>
    </row>
    <row r="630" spans="1:3">
      <c r="A630">
        <v>3.7</v>
      </c>
      <c r="B630">
        <v>81</v>
      </c>
      <c r="C630" t="str">
        <f t="shared" si="14"/>
        <v>3.5–4.0</v>
      </c>
    </row>
    <row r="631" spans="1:3">
      <c r="A631">
        <v>2.1</v>
      </c>
      <c r="B631">
        <v>72.5</v>
      </c>
      <c r="C631" t="str">
        <f t="shared" si="14"/>
        <v>Under 3.0</v>
      </c>
    </row>
    <row r="632" spans="1:3">
      <c r="A632">
        <v>3.9</v>
      </c>
      <c r="B632">
        <v>139</v>
      </c>
      <c r="C632" t="str">
        <f t="shared" si="14"/>
        <v>3.5–4.0</v>
      </c>
    </row>
    <row r="633" spans="1:3">
      <c r="A633">
        <v>3.9</v>
      </c>
      <c r="B633">
        <v>136.5</v>
      </c>
      <c r="C633" t="str">
        <f t="shared" si="14"/>
        <v>3.5–4.0</v>
      </c>
    </row>
    <row r="634" spans="1:3">
      <c r="A634">
        <v>3.2</v>
      </c>
      <c r="B634">
        <v>83</v>
      </c>
      <c r="C634" t="str">
        <f t="shared" si="14"/>
        <v>3.0–3.5</v>
      </c>
    </row>
    <row r="635" spans="1:3">
      <c r="A635">
        <v>4.5999999999999996</v>
      </c>
      <c r="B635">
        <v>121</v>
      </c>
      <c r="C635" t="str">
        <f t="shared" si="14"/>
        <v>4.5+</v>
      </c>
    </row>
    <row r="636" spans="1:3">
      <c r="A636">
        <v>3.8</v>
      </c>
      <c r="B636">
        <v>74.5</v>
      </c>
      <c r="C636" t="str">
        <f t="shared" si="14"/>
        <v>3.5–4.0</v>
      </c>
    </row>
    <row r="637" spans="1:3">
      <c r="A637">
        <v>2.2000000000000002</v>
      </c>
      <c r="B637">
        <v>85.5</v>
      </c>
      <c r="C637" t="str">
        <f t="shared" si="14"/>
        <v>Under 3.0</v>
      </c>
    </row>
    <row r="638" spans="1:3">
      <c r="A638">
        <v>3.1</v>
      </c>
      <c r="B638">
        <v>80.5</v>
      </c>
      <c r="C638" t="str">
        <f t="shared" si="14"/>
        <v>3.0–3.5</v>
      </c>
    </row>
    <row r="639" spans="1:3">
      <c r="A639">
        <v>4.5999999999999996</v>
      </c>
      <c r="B639">
        <v>167.5</v>
      </c>
      <c r="C639" t="str">
        <f t="shared" si="14"/>
        <v>4.5+</v>
      </c>
    </row>
    <row r="640" spans="1:3">
      <c r="A640">
        <v>2.6</v>
      </c>
      <c r="B640">
        <v>107.5</v>
      </c>
      <c r="C640" t="str">
        <f t="shared" si="14"/>
        <v>Under 3.0</v>
      </c>
    </row>
    <row r="641" spans="1:3">
      <c r="A641">
        <v>3.4</v>
      </c>
      <c r="B641">
        <v>44.5</v>
      </c>
      <c r="C641" t="str">
        <f t="shared" si="14"/>
        <v>3.0–3.5</v>
      </c>
    </row>
    <row r="642" spans="1:3">
      <c r="A642">
        <v>3.3</v>
      </c>
      <c r="B642">
        <v>107.5</v>
      </c>
      <c r="C642" t="str">
        <f t="shared" si="14"/>
        <v>3.0–3.5</v>
      </c>
    </row>
    <row r="643" spans="1:3" hidden="1">
      <c r="A643">
        <v>-1</v>
      </c>
      <c r="B643">
        <v>132.5</v>
      </c>
    </row>
    <row r="644" spans="1:3">
      <c r="A644">
        <v>3.7</v>
      </c>
      <c r="B644">
        <v>69.5</v>
      </c>
      <c r="C644" t="str">
        <f t="shared" ref="C644:C707" si="15">IF(A644&lt;3,"Under 3.0",IF(A644&lt;3.5,"3.0–3.5",IF(A644&lt;4,"3.5–4.0",IF(A644&lt;4.5,"4.0–4.5","4.5+"))))</f>
        <v>3.5–4.0</v>
      </c>
    </row>
    <row r="645" spans="1:3">
      <c r="A645">
        <v>3.5</v>
      </c>
      <c r="B645">
        <v>98.5</v>
      </c>
      <c r="C645" t="str">
        <f t="shared" si="15"/>
        <v>3.5–4.0</v>
      </c>
    </row>
    <row r="646" spans="1:3">
      <c r="A646">
        <v>2.7</v>
      </c>
      <c r="B646">
        <v>80.5</v>
      </c>
      <c r="C646" t="str">
        <f t="shared" si="15"/>
        <v>Under 3.0</v>
      </c>
    </row>
    <row r="647" spans="1:3">
      <c r="A647">
        <v>3.8</v>
      </c>
      <c r="B647">
        <v>76.5</v>
      </c>
      <c r="C647" t="str">
        <f t="shared" si="15"/>
        <v>3.5–4.0</v>
      </c>
    </row>
    <row r="648" spans="1:3">
      <c r="A648">
        <v>3.7</v>
      </c>
      <c r="B648">
        <v>99</v>
      </c>
      <c r="C648" t="str">
        <f t="shared" si="15"/>
        <v>3.5–4.0</v>
      </c>
    </row>
    <row r="649" spans="1:3">
      <c r="A649">
        <v>3.8</v>
      </c>
      <c r="B649">
        <v>96.5</v>
      </c>
      <c r="C649" t="str">
        <f t="shared" si="15"/>
        <v>3.5–4.0</v>
      </c>
    </row>
    <row r="650" spans="1:3">
      <c r="A650">
        <v>3.3</v>
      </c>
      <c r="B650">
        <v>53</v>
      </c>
      <c r="C650" t="str">
        <f t="shared" si="15"/>
        <v>3.0–3.5</v>
      </c>
    </row>
    <row r="651" spans="1:3">
      <c r="A651">
        <v>2.7</v>
      </c>
      <c r="B651">
        <v>103</v>
      </c>
      <c r="C651" t="str">
        <f t="shared" si="15"/>
        <v>Under 3.0</v>
      </c>
    </row>
    <row r="652" spans="1:3">
      <c r="A652">
        <v>3.8</v>
      </c>
      <c r="B652">
        <v>139.5</v>
      </c>
      <c r="C652" t="str">
        <f t="shared" si="15"/>
        <v>3.5–4.0</v>
      </c>
    </row>
    <row r="653" spans="1:3">
      <c r="A653">
        <v>3.8</v>
      </c>
      <c r="B653">
        <v>67</v>
      </c>
      <c r="C653" t="str">
        <f t="shared" si="15"/>
        <v>3.5–4.0</v>
      </c>
    </row>
    <row r="654" spans="1:3">
      <c r="A654">
        <v>3</v>
      </c>
      <c r="B654">
        <v>62.5</v>
      </c>
      <c r="C654" t="str">
        <f t="shared" si="15"/>
        <v>3.0–3.5</v>
      </c>
    </row>
    <row r="655" spans="1:3">
      <c r="A655">
        <v>3.9</v>
      </c>
      <c r="B655">
        <v>92</v>
      </c>
      <c r="C655" t="str">
        <f t="shared" si="15"/>
        <v>3.5–4.0</v>
      </c>
    </row>
    <row r="656" spans="1:3">
      <c r="A656">
        <v>3.6</v>
      </c>
      <c r="B656">
        <v>66</v>
      </c>
      <c r="C656" t="str">
        <f t="shared" si="15"/>
        <v>3.5–4.0</v>
      </c>
    </row>
    <row r="657" spans="1:3">
      <c r="A657">
        <v>3.5</v>
      </c>
      <c r="B657">
        <v>94.5</v>
      </c>
      <c r="C657" t="str">
        <f t="shared" si="15"/>
        <v>3.5–4.0</v>
      </c>
    </row>
    <row r="658" spans="1:3">
      <c r="A658">
        <v>3.6</v>
      </c>
      <c r="B658">
        <v>114</v>
      </c>
      <c r="C658" t="str">
        <f t="shared" si="15"/>
        <v>3.5–4.0</v>
      </c>
    </row>
    <row r="659" spans="1:3">
      <c r="A659">
        <v>4.2</v>
      </c>
      <c r="B659">
        <v>75.5</v>
      </c>
      <c r="C659" t="str">
        <f t="shared" si="15"/>
        <v>4.0–4.5</v>
      </c>
    </row>
    <row r="660" spans="1:3">
      <c r="A660">
        <v>3.5</v>
      </c>
      <c r="B660">
        <v>96</v>
      </c>
      <c r="C660" t="str">
        <f t="shared" si="15"/>
        <v>3.5–4.0</v>
      </c>
    </row>
    <row r="661" spans="1:3">
      <c r="A661">
        <v>4</v>
      </c>
      <c r="B661">
        <v>87</v>
      </c>
      <c r="C661" t="str">
        <f t="shared" si="15"/>
        <v>4.0–4.5</v>
      </c>
    </row>
    <row r="662" spans="1:3">
      <c r="A662">
        <v>3.7</v>
      </c>
      <c r="B662">
        <v>86</v>
      </c>
      <c r="C662" t="str">
        <f t="shared" si="15"/>
        <v>3.5–4.0</v>
      </c>
    </row>
    <row r="663" spans="1:3">
      <c r="A663">
        <v>4.4000000000000004</v>
      </c>
      <c r="B663">
        <v>116.5</v>
      </c>
      <c r="C663" t="str">
        <f t="shared" si="15"/>
        <v>4.0–4.5</v>
      </c>
    </row>
    <row r="664" spans="1:3">
      <c r="A664">
        <v>3.5</v>
      </c>
      <c r="B664">
        <v>154.5</v>
      </c>
      <c r="C664" t="str">
        <f t="shared" si="15"/>
        <v>3.5–4.0</v>
      </c>
    </row>
    <row r="665" spans="1:3">
      <c r="A665">
        <v>3.6</v>
      </c>
      <c r="B665">
        <v>48.5</v>
      </c>
      <c r="C665" t="str">
        <f t="shared" si="15"/>
        <v>3.5–4.0</v>
      </c>
    </row>
    <row r="666" spans="1:3">
      <c r="A666">
        <v>3.7</v>
      </c>
      <c r="B666">
        <v>87</v>
      </c>
      <c r="C666" t="str">
        <f t="shared" si="15"/>
        <v>3.5–4.0</v>
      </c>
    </row>
    <row r="667" spans="1:3">
      <c r="A667">
        <v>3.4</v>
      </c>
      <c r="B667">
        <v>80</v>
      </c>
      <c r="C667" t="str">
        <f t="shared" si="15"/>
        <v>3.0–3.5</v>
      </c>
    </row>
    <row r="668" spans="1:3">
      <c r="A668">
        <v>4</v>
      </c>
      <c r="B668">
        <v>44.5</v>
      </c>
      <c r="C668" t="str">
        <f t="shared" si="15"/>
        <v>4.0–4.5</v>
      </c>
    </row>
    <row r="669" spans="1:3">
      <c r="A669">
        <v>3.7</v>
      </c>
      <c r="B669">
        <v>173</v>
      </c>
      <c r="C669" t="str">
        <f t="shared" si="15"/>
        <v>3.5–4.0</v>
      </c>
    </row>
    <row r="670" spans="1:3">
      <c r="A670">
        <v>2.4</v>
      </c>
      <c r="B670">
        <v>52.5</v>
      </c>
      <c r="C670" t="str">
        <f t="shared" si="15"/>
        <v>Under 3.0</v>
      </c>
    </row>
    <row r="671" spans="1:3">
      <c r="A671">
        <v>3.5</v>
      </c>
      <c r="B671">
        <v>68.5</v>
      </c>
      <c r="C671" t="str">
        <f t="shared" si="15"/>
        <v>3.5–4.0</v>
      </c>
    </row>
    <row r="672" spans="1:3">
      <c r="A672">
        <v>3.9</v>
      </c>
      <c r="B672">
        <v>95</v>
      </c>
      <c r="C672" t="str">
        <f t="shared" si="15"/>
        <v>3.5–4.0</v>
      </c>
    </row>
    <row r="673" spans="1:3">
      <c r="A673">
        <v>3.2</v>
      </c>
      <c r="B673">
        <v>69.5</v>
      </c>
      <c r="C673" t="str">
        <f t="shared" si="15"/>
        <v>3.0–3.5</v>
      </c>
    </row>
    <row r="674" spans="1:3">
      <c r="A674">
        <v>4.4000000000000004</v>
      </c>
      <c r="B674">
        <v>107</v>
      </c>
      <c r="C674" t="str">
        <f t="shared" si="15"/>
        <v>4.0–4.5</v>
      </c>
    </row>
    <row r="675" spans="1:3">
      <c r="A675">
        <v>3.9</v>
      </c>
      <c r="B675">
        <v>112</v>
      </c>
      <c r="C675" t="str">
        <f t="shared" si="15"/>
        <v>3.5–4.0</v>
      </c>
    </row>
    <row r="676" spans="1:3">
      <c r="A676">
        <v>3.4</v>
      </c>
      <c r="B676">
        <v>96.5</v>
      </c>
      <c r="C676" t="str">
        <f t="shared" si="15"/>
        <v>3.0–3.5</v>
      </c>
    </row>
    <row r="677" spans="1:3">
      <c r="A677">
        <v>2.1</v>
      </c>
      <c r="B677">
        <v>111.5</v>
      </c>
      <c r="C677" t="str">
        <f t="shared" si="15"/>
        <v>Under 3.0</v>
      </c>
    </row>
    <row r="678" spans="1:3">
      <c r="A678">
        <v>3.7</v>
      </c>
      <c r="B678">
        <v>154.5</v>
      </c>
      <c r="C678" t="str">
        <f t="shared" si="15"/>
        <v>3.5–4.0</v>
      </c>
    </row>
    <row r="679" spans="1:3">
      <c r="A679">
        <v>3.4</v>
      </c>
      <c r="B679">
        <v>95</v>
      </c>
      <c r="C679" t="str">
        <f t="shared" si="15"/>
        <v>3.0–3.5</v>
      </c>
    </row>
    <row r="680" spans="1:3">
      <c r="A680">
        <v>4</v>
      </c>
      <c r="B680">
        <v>97.5</v>
      </c>
      <c r="C680" t="str">
        <f t="shared" si="15"/>
        <v>4.0–4.5</v>
      </c>
    </row>
    <row r="681" spans="1:3">
      <c r="A681">
        <v>4.4000000000000004</v>
      </c>
      <c r="B681">
        <v>128.5</v>
      </c>
      <c r="C681" t="str">
        <f t="shared" si="15"/>
        <v>4.0–4.5</v>
      </c>
    </row>
    <row r="682" spans="1:3">
      <c r="A682">
        <v>2.6</v>
      </c>
      <c r="B682">
        <v>124</v>
      </c>
      <c r="C682" t="str">
        <f t="shared" si="15"/>
        <v>Under 3.0</v>
      </c>
    </row>
    <row r="683" spans="1:3">
      <c r="A683">
        <v>3.2</v>
      </c>
      <c r="B683">
        <v>194</v>
      </c>
      <c r="C683" t="str">
        <f t="shared" si="15"/>
        <v>3.0–3.5</v>
      </c>
    </row>
    <row r="684" spans="1:3">
      <c r="A684">
        <v>3.7</v>
      </c>
      <c r="B684">
        <v>65</v>
      </c>
      <c r="C684" t="str">
        <f t="shared" si="15"/>
        <v>3.5–4.0</v>
      </c>
    </row>
    <row r="685" spans="1:3">
      <c r="A685">
        <v>4.2</v>
      </c>
      <c r="B685">
        <v>50</v>
      </c>
      <c r="C685" t="str">
        <f t="shared" si="15"/>
        <v>4.0–4.5</v>
      </c>
    </row>
    <row r="686" spans="1:3">
      <c r="A686">
        <v>3.5</v>
      </c>
      <c r="B686">
        <v>104.5</v>
      </c>
      <c r="C686" t="str">
        <f t="shared" si="15"/>
        <v>3.5–4.0</v>
      </c>
    </row>
    <row r="687" spans="1:3">
      <c r="A687">
        <v>4.3</v>
      </c>
      <c r="B687">
        <v>69.5</v>
      </c>
      <c r="C687" t="str">
        <f t="shared" si="15"/>
        <v>4.0–4.5</v>
      </c>
    </row>
    <row r="688" spans="1:3">
      <c r="A688">
        <v>2.6</v>
      </c>
      <c r="B688">
        <v>121</v>
      </c>
      <c r="C688" t="str">
        <f t="shared" si="15"/>
        <v>Under 3.0</v>
      </c>
    </row>
    <row r="689" spans="1:3">
      <c r="A689">
        <v>4.2</v>
      </c>
      <c r="B689">
        <v>85.5</v>
      </c>
      <c r="C689" t="str">
        <f t="shared" si="15"/>
        <v>4.0–4.5</v>
      </c>
    </row>
    <row r="690" spans="1:3">
      <c r="A690">
        <v>3.1</v>
      </c>
      <c r="B690">
        <v>113</v>
      </c>
      <c r="C690" t="str">
        <f t="shared" si="15"/>
        <v>3.0–3.5</v>
      </c>
    </row>
    <row r="691" spans="1:3">
      <c r="A691">
        <v>3.8</v>
      </c>
      <c r="B691">
        <v>103</v>
      </c>
      <c r="C691" t="str">
        <f t="shared" si="15"/>
        <v>3.5–4.0</v>
      </c>
    </row>
    <row r="692" spans="1:3">
      <c r="A692">
        <v>3.9</v>
      </c>
      <c r="B692">
        <v>90.5</v>
      </c>
      <c r="C692" t="str">
        <f t="shared" si="15"/>
        <v>3.5–4.0</v>
      </c>
    </row>
    <row r="693" spans="1:3">
      <c r="A693">
        <v>4.3</v>
      </c>
      <c r="B693">
        <v>153</v>
      </c>
      <c r="C693" t="str">
        <f t="shared" si="15"/>
        <v>4.0–4.5</v>
      </c>
    </row>
    <row r="694" spans="1:3">
      <c r="A694">
        <v>3.2</v>
      </c>
      <c r="B694">
        <v>106.5</v>
      </c>
      <c r="C694" t="str">
        <f t="shared" si="15"/>
        <v>3.0–3.5</v>
      </c>
    </row>
    <row r="695" spans="1:3">
      <c r="A695">
        <v>5</v>
      </c>
      <c r="B695">
        <v>130</v>
      </c>
      <c r="C695" t="str">
        <f t="shared" si="15"/>
        <v>4.5+</v>
      </c>
    </row>
    <row r="696" spans="1:3">
      <c r="A696">
        <v>3.3</v>
      </c>
      <c r="B696">
        <v>123.5</v>
      </c>
      <c r="C696" t="str">
        <f t="shared" si="15"/>
        <v>3.0–3.5</v>
      </c>
    </row>
    <row r="697" spans="1:3">
      <c r="A697">
        <v>4.3</v>
      </c>
      <c r="B697">
        <v>86.5</v>
      </c>
      <c r="C697" t="str">
        <f t="shared" si="15"/>
        <v>4.0–4.5</v>
      </c>
    </row>
    <row r="698" spans="1:3">
      <c r="A698">
        <v>3.5</v>
      </c>
      <c r="B698">
        <v>64</v>
      </c>
      <c r="C698" t="str">
        <f t="shared" si="15"/>
        <v>3.5–4.0</v>
      </c>
    </row>
    <row r="699" spans="1:3">
      <c r="A699">
        <v>3.9</v>
      </c>
      <c r="B699">
        <v>47</v>
      </c>
      <c r="C699" t="str">
        <f t="shared" si="15"/>
        <v>3.5–4.0</v>
      </c>
    </row>
    <row r="700" spans="1:3">
      <c r="A700">
        <v>4</v>
      </c>
      <c r="B700">
        <v>162</v>
      </c>
      <c r="C700" t="str">
        <f t="shared" si="15"/>
        <v>4.0–4.5</v>
      </c>
    </row>
    <row r="701" spans="1:3">
      <c r="A701">
        <v>3.9</v>
      </c>
      <c r="B701">
        <v>140</v>
      </c>
      <c r="C701" t="str">
        <f t="shared" si="15"/>
        <v>3.5–4.0</v>
      </c>
    </row>
    <row r="702" spans="1:3">
      <c r="A702">
        <v>3.4</v>
      </c>
      <c r="B702">
        <v>89</v>
      </c>
      <c r="C702" t="str">
        <f t="shared" si="15"/>
        <v>3.0–3.5</v>
      </c>
    </row>
    <row r="703" spans="1:3">
      <c r="A703">
        <v>3</v>
      </c>
      <c r="B703">
        <v>98</v>
      </c>
      <c r="C703" t="str">
        <f t="shared" si="15"/>
        <v>3.0–3.5</v>
      </c>
    </row>
    <row r="704" spans="1:3">
      <c r="A704">
        <v>3.9</v>
      </c>
      <c r="B704">
        <v>137</v>
      </c>
      <c r="C704" t="str">
        <f t="shared" si="15"/>
        <v>3.5–4.0</v>
      </c>
    </row>
    <row r="705" spans="1:3">
      <c r="A705">
        <v>4</v>
      </c>
      <c r="B705">
        <v>99</v>
      </c>
      <c r="C705" t="str">
        <f t="shared" si="15"/>
        <v>4.0–4.5</v>
      </c>
    </row>
    <row r="706" spans="1:3">
      <c r="A706">
        <v>3.3</v>
      </c>
      <c r="B706">
        <v>54</v>
      </c>
      <c r="C706" t="str">
        <f t="shared" si="15"/>
        <v>3.0–3.5</v>
      </c>
    </row>
    <row r="707" spans="1:3">
      <c r="A707">
        <v>3.2</v>
      </c>
      <c r="B707">
        <v>109</v>
      </c>
      <c r="C707" t="str">
        <f t="shared" si="15"/>
        <v>3.0–3.5</v>
      </c>
    </row>
    <row r="708" spans="1:3">
      <c r="A708">
        <v>3.4</v>
      </c>
      <c r="B708">
        <v>109</v>
      </c>
      <c r="C708" t="str">
        <f t="shared" ref="C708:C731" si="16">IF(A708&lt;3,"Under 3.0",IF(A708&lt;3.5,"3.0–3.5",IF(A708&lt;4,"3.5–4.0",IF(A708&lt;4.5,"4.0–4.5","4.5+"))))</f>
        <v>3.0–3.5</v>
      </c>
    </row>
    <row r="709" spans="1:3">
      <c r="A709">
        <v>4.4000000000000004</v>
      </c>
      <c r="B709">
        <v>139.5</v>
      </c>
      <c r="C709" t="str">
        <f t="shared" si="16"/>
        <v>4.0–4.5</v>
      </c>
    </row>
    <row r="710" spans="1:3">
      <c r="A710">
        <v>3.3</v>
      </c>
      <c r="B710">
        <v>254</v>
      </c>
      <c r="C710" t="str">
        <f t="shared" si="16"/>
        <v>3.0–3.5</v>
      </c>
    </row>
    <row r="711" spans="1:3">
      <c r="A711">
        <v>3.2</v>
      </c>
      <c r="B711">
        <v>125</v>
      </c>
      <c r="C711" t="str">
        <f t="shared" si="16"/>
        <v>3.0–3.5</v>
      </c>
    </row>
    <row r="712" spans="1:3">
      <c r="A712">
        <v>3.8</v>
      </c>
      <c r="B712">
        <v>106.5</v>
      </c>
      <c r="C712" t="str">
        <f t="shared" si="16"/>
        <v>3.5–4.0</v>
      </c>
    </row>
    <row r="713" spans="1:3">
      <c r="A713">
        <v>3.6</v>
      </c>
      <c r="B713">
        <v>56.5</v>
      </c>
      <c r="C713" t="str">
        <f t="shared" si="16"/>
        <v>3.5–4.0</v>
      </c>
    </row>
    <row r="714" spans="1:3">
      <c r="A714">
        <v>2.9</v>
      </c>
      <c r="B714">
        <v>73</v>
      </c>
      <c r="C714" t="str">
        <f t="shared" si="16"/>
        <v>Under 3.0</v>
      </c>
    </row>
    <row r="715" spans="1:3">
      <c r="A715">
        <v>2.7</v>
      </c>
      <c r="B715">
        <v>81</v>
      </c>
      <c r="C715" t="str">
        <f t="shared" si="16"/>
        <v>Under 3.0</v>
      </c>
    </row>
    <row r="716" spans="1:3">
      <c r="A716">
        <v>3.2</v>
      </c>
      <c r="B716">
        <v>128.5</v>
      </c>
      <c r="C716" t="str">
        <f t="shared" si="16"/>
        <v>3.0–3.5</v>
      </c>
    </row>
    <row r="717" spans="1:3">
      <c r="A717">
        <v>3.1</v>
      </c>
      <c r="B717">
        <v>99.5</v>
      </c>
      <c r="C717" t="str">
        <f t="shared" si="16"/>
        <v>3.0–3.5</v>
      </c>
    </row>
    <row r="718" spans="1:3">
      <c r="A718">
        <v>4</v>
      </c>
      <c r="B718">
        <v>92</v>
      </c>
      <c r="C718" t="str">
        <f t="shared" si="16"/>
        <v>4.0–4.5</v>
      </c>
    </row>
    <row r="719" spans="1:3">
      <c r="A719">
        <v>3.3</v>
      </c>
      <c r="B719">
        <v>45.5</v>
      </c>
      <c r="C719" t="str">
        <f t="shared" si="16"/>
        <v>3.0–3.5</v>
      </c>
    </row>
    <row r="720" spans="1:3">
      <c r="A720">
        <v>4.5</v>
      </c>
      <c r="B720">
        <v>122.5</v>
      </c>
      <c r="C720" t="str">
        <f t="shared" si="16"/>
        <v>4.5+</v>
      </c>
    </row>
    <row r="721" spans="1:3">
      <c r="A721">
        <v>3</v>
      </c>
      <c r="B721">
        <v>37.5</v>
      </c>
      <c r="C721" t="str">
        <f t="shared" si="16"/>
        <v>3.0–3.5</v>
      </c>
    </row>
    <row r="722" spans="1:3">
      <c r="A722">
        <v>3.7</v>
      </c>
      <c r="B722">
        <v>54</v>
      </c>
      <c r="C722" t="str">
        <f t="shared" si="16"/>
        <v>3.5–4.0</v>
      </c>
    </row>
    <row r="723" spans="1:3">
      <c r="A723">
        <v>3.8</v>
      </c>
      <c r="B723">
        <v>53.5</v>
      </c>
      <c r="C723" t="str">
        <f t="shared" si="16"/>
        <v>3.5–4.0</v>
      </c>
    </row>
    <row r="724" spans="1:3">
      <c r="A724">
        <v>3.9</v>
      </c>
      <c r="B724">
        <v>140</v>
      </c>
      <c r="C724" t="str">
        <f t="shared" si="16"/>
        <v>3.5–4.0</v>
      </c>
    </row>
    <row r="725" spans="1:3">
      <c r="A725">
        <v>3.2</v>
      </c>
      <c r="B725">
        <v>77.5</v>
      </c>
      <c r="C725" t="str">
        <f t="shared" si="16"/>
        <v>3.0–3.5</v>
      </c>
    </row>
    <row r="726" spans="1:3">
      <c r="A726">
        <v>3.3</v>
      </c>
      <c r="B726">
        <v>55</v>
      </c>
      <c r="C726" t="str">
        <f t="shared" si="16"/>
        <v>3.0–3.5</v>
      </c>
    </row>
    <row r="727" spans="1:3">
      <c r="A727">
        <v>3.1</v>
      </c>
      <c r="B727">
        <v>117.5</v>
      </c>
      <c r="C727" t="str">
        <f t="shared" si="16"/>
        <v>3.0–3.5</v>
      </c>
    </row>
    <row r="728" spans="1:3">
      <c r="A728">
        <v>2.4</v>
      </c>
      <c r="B728">
        <v>70.5</v>
      </c>
      <c r="C728" t="str">
        <f t="shared" si="16"/>
        <v>Under 3.0</v>
      </c>
    </row>
    <row r="729" spans="1:3">
      <c r="A729">
        <v>4.8</v>
      </c>
      <c r="B729">
        <v>61.5</v>
      </c>
      <c r="C729" t="str">
        <f t="shared" si="16"/>
        <v>4.5+</v>
      </c>
    </row>
    <row r="730" spans="1:3">
      <c r="A730">
        <v>2.9</v>
      </c>
      <c r="B730">
        <v>80</v>
      </c>
      <c r="C730" t="str">
        <f t="shared" si="16"/>
        <v>Under 3.0</v>
      </c>
    </row>
    <row r="731" spans="1:3">
      <c r="A731">
        <v>2.9</v>
      </c>
      <c r="B731">
        <v>70</v>
      </c>
      <c r="C731" t="str">
        <f t="shared" si="16"/>
        <v>Under 3.0</v>
      </c>
    </row>
    <row r="732" spans="1:3" hidden="1">
      <c r="A732">
        <v>-1</v>
      </c>
      <c r="B732">
        <v>120</v>
      </c>
    </row>
    <row r="733" spans="1:3">
      <c r="A733">
        <v>3.4</v>
      </c>
      <c r="B733">
        <v>90</v>
      </c>
      <c r="C733" t="str">
        <f t="shared" ref="C733:C743" si="17">IF(A733&lt;3,"Under 3.0",IF(A733&lt;3.5,"3.0–3.5",IF(A733&lt;4,"3.5–4.0",IF(A733&lt;4.5,"4.0–4.5","4.5+"))))</f>
        <v>3.0–3.5</v>
      </c>
    </row>
    <row r="734" spans="1:3">
      <c r="A734">
        <v>4.0999999999999996</v>
      </c>
      <c r="B734">
        <v>111</v>
      </c>
      <c r="C734" t="str">
        <f t="shared" si="17"/>
        <v>4.0–4.5</v>
      </c>
    </row>
    <row r="735" spans="1:3">
      <c r="A735">
        <v>3.9</v>
      </c>
      <c r="B735">
        <v>138.5</v>
      </c>
      <c r="C735" t="str">
        <f t="shared" si="17"/>
        <v>3.5–4.0</v>
      </c>
    </row>
    <row r="736" spans="1:3">
      <c r="A736">
        <v>3.6</v>
      </c>
      <c r="B736">
        <v>68.5</v>
      </c>
      <c r="C736" t="str">
        <f t="shared" si="17"/>
        <v>3.5–4.0</v>
      </c>
    </row>
    <row r="737" spans="1:3">
      <c r="A737">
        <v>3.9</v>
      </c>
      <c r="B737">
        <v>87.5</v>
      </c>
      <c r="C737" t="str">
        <f t="shared" si="17"/>
        <v>3.5–4.0</v>
      </c>
    </row>
    <row r="738" spans="1:3">
      <c r="A738">
        <v>3.6</v>
      </c>
      <c r="B738">
        <v>111.5</v>
      </c>
      <c r="C738" t="str">
        <f t="shared" si="17"/>
        <v>3.5–4.0</v>
      </c>
    </row>
    <row r="739" spans="1:3">
      <c r="A739">
        <v>3.9</v>
      </c>
      <c r="B739">
        <v>84.5</v>
      </c>
      <c r="C739" t="str">
        <f t="shared" si="17"/>
        <v>3.5–4.0</v>
      </c>
    </row>
    <row r="740" spans="1:3">
      <c r="A740">
        <v>4.4000000000000004</v>
      </c>
      <c r="B740">
        <v>102.5</v>
      </c>
      <c r="C740" t="str">
        <f t="shared" si="17"/>
        <v>4.0–4.5</v>
      </c>
    </row>
    <row r="741" spans="1:3">
      <c r="A741">
        <v>2.6</v>
      </c>
      <c r="B741">
        <v>73.5</v>
      </c>
      <c r="C741" t="str">
        <f t="shared" si="17"/>
        <v>Under 3.0</v>
      </c>
    </row>
    <row r="742" spans="1:3">
      <c r="A742">
        <v>3.2</v>
      </c>
      <c r="B742">
        <v>127.5</v>
      </c>
      <c r="C742" t="str">
        <f t="shared" si="17"/>
        <v>3.0–3.5</v>
      </c>
    </row>
    <row r="743" spans="1:3">
      <c r="A743">
        <v>3.6</v>
      </c>
      <c r="B743">
        <v>93.5</v>
      </c>
      <c r="C743" t="str">
        <f t="shared" si="17"/>
        <v>3.5–4.0</v>
      </c>
    </row>
  </sheetData>
  <autoFilter ref="A1:A743">
    <filterColumn colId="0">
      <filters>
        <filter val="1.9"/>
        <filter val="2.1"/>
        <filter val="2.2"/>
        <filter val="2.3"/>
        <filter val="2.4"/>
        <filter val="2.5"/>
        <filter val="2.6"/>
        <filter val="2.7"/>
        <filter val="2.8"/>
        <filter val="2.9"/>
        <filter val="3"/>
        <filter val="3.1"/>
        <filter val="3.2"/>
        <filter val="3.3"/>
        <filter val="3.4"/>
        <filter val="3.5"/>
        <filter val="3.6"/>
        <filter val="3.7"/>
        <filter val="3.8"/>
        <filter val="3.9"/>
        <filter val="4"/>
        <filter val="4.1"/>
        <filter val="4.2"/>
        <filter val="4.3"/>
        <filter val="4.4"/>
        <filter val="4.5"/>
        <filter val="4.6"/>
        <filter val="4.7"/>
        <filter val="4.8"/>
        <filter val="5"/>
      </filters>
    </filterColumn>
  </autoFilter>
  <dataConsolidate/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3:B12"/>
  <sheetViews>
    <sheetView workbookViewId="0">
      <selection activeCell="K21" sqref="K21"/>
    </sheetView>
  </sheetViews>
  <sheetFormatPr defaultRowHeight="15"/>
  <cols>
    <col min="1" max="1" width="13.140625" bestFit="1" customWidth="1"/>
    <col min="2" max="2" width="16.7109375" bestFit="1" customWidth="1"/>
  </cols>
  <sheetData>
    <row r="3" spans="1:2">
      <c r="A3" s="3" t="s">
        <v>543</v>
      </c>
      <c r="B3" t="s">
        <v>582</v>
      </c>
    </row>
    <row r="4" spans="1:2">
      <c r="A4" s="4" t="s">
        <v>22</v>
      </c>
      <c r="B4" s="8">
        <v>4.0212765957446788</v>
      </c>
    </row>
    <row r="5" spans="1:2">
      <c r="A5" s="7">
        <v>18264</v>
      </c>
      <c r="B5" s="8">
        <v>3.7354838709677418</v>
      </c>
    </row>
    <row r="6" spans="1:2">
      <c r="A6" s="4" t="s">
        <v>25</v>
      </c>
      <c r="B6" s="8">
        <v>3.6700854700854659</v>
      </c>
    </row>
    <row r="7" spans="1:2">
      <c r="A7" s="4" t="s">
        <v>14</v>
      </c>
      <c r="B7" s="8">
        <v>3.6299999999999981</v>
      </c>
    </row>
    <row r="8" spans="1:2">
      <c r="A8" s="4" t="s">
        <v>19</v>
      </c>
      <c r="B8" s="8">
        <v>3.5986666666666678</v>
      </c>
    </row>
    <row r="9" spans="1:2">
      <c r="A9" s="4" t="s">
        <v>9</v>
      </c>
      <c r="B9" s="8">
        <v>3.5813432835820889</v>
      </c>
    </row>
    <row r="10" spans="1:2">
      <c r="A10" s="4" t="s">
        <v>38</v>
      </c>
      <c r="B10" s="8">
        <v>3.5315789473684185</v>
      </c>
    </row>
    <row r="11" spans="1:2">
      <c r="A11" s="4" t="s">
        <v>89</v>
      </c>
      <c r="B11" s="8">
        <v>0.2</v>
      </c>
    </row>
    <row r="12" spans="1:2">
      <c r="A12" s="4" t="s">
        <v>544</v>
      </c>
      <c r="B12" s="8">
        <v>3.6188679245283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3:E13"/>
  <sheetViews>
    <sheetView workbookViewId="0">
      <selection activeCell="D17" sqref="D17"/>
    </sheetView>
  </sheetViews>
  <sheetFormatPr defaultRowHeight="15"/>
  <cols>
    <col min="1" max="1" width="13.140625" bestFit="1" customWidth="1"/>
    <col min="2" max="2" width="23" bestFit="1" customWidth="1"/>
    <col min="3" max="3" width="27.42578125" bestFit="1" customWidth="1"/>
    <col min="4" max="4" width="28" bestFit="1" customWidth="1"/>
    <col min="5" max="5" width="16.5703125" bestFit="1" customWidth="1"/>
  </cols>
  <sheetData>
    <row r="3" spans="1:5">
      <c r="B3" s="3" t="s">
        <v>551</v>
      </c>
    </row>
    <row r="4" spans="1:5">
      <c r="A4" s="3" t="s">
        <v>543</v>
      </c>
      <c r="B4" t="s">
        <v>552</v>
      </c>
      <c r="C4" t="s">
        <v>554</v>
      </c>
      <c r="D4" t="s">
        <v>553</v>
      </c>
      <c r="E4" t="s">
        <v>548</v>
      </c>
    </row>
    <row r="5" spans="1:5">
      <c r="A5" s="4" t="s">
        <v>19</v>
      </c>
      <c r="B5" s="6">
        <v>94.69</v>
      </c>
      <c r="C5" s="6">
        <v>68.953333333333333</v>
      </c>
      <c r="D5" s="6">
        <v>120.42666666666666</v>
      </c>
      <c r="E5" s="2">
        <v>150</v>
      </c>
    </row>
    <row r="6" spans="1:5">
      <c r="A6" s="4" t="s">
        <v>9</v>
      </c>
      <c r="B6" s="6">
        <v>91.503731343283576</v>
      </c>
      <c r="C6" s="6">
        <v>66.865671641791039</v>
      </c>
      <c r="D6" s="6">
        <v>116.14179104477611</v>
      </c>
      <c r="E6" s="2">
        <v>134</v>
      </c>
    </row>
    <row r="7" spans="1:5">
      <c r="A7" s="4" t="s">
        <v>14</v>
      </c>
      <c r="B7" s="6">
        <v>112.80384615384615</v>
      </c>
      <c r="C7" s="6">
        <v>83.661538461538456</v>
      </c>
      <c r="D7" s="6">
        <v>141.94615384615383</v>
      </c>
      <c r="E7" s="2">
        <v>130</v>
      </c>
    </row>
    <row r="8" spans="1:5">
      <c r="A8" s="4" t="s">
        <v>25</v>
      </c>
      <c r="B8" s="6">
        <v>100.24786324786325</v>
      </c>
      <c r="C8" s="6">
        <v>72.136752136752136</v>
      </c>
      <c r="D8" s="6">
        <v>128.35897435897436</v>
      </c>
      <c r="E8" s="2">
        <v>117</v>
      </c>
    </row>
    <row r="9" spans="1:5">
      <c r="A9" s="4" t="s">
        <v>22</v>
      </c>
      <c r="B9" s="6">
        <v>111.77127659574468</v>
      </c>
      <c r="C9" s="6">
        <v>84.468085106382972</v>
      </c>
      <c r="D9" s="6">
        <v>139.07446808510639</v>
      </c>
      <c r="E9" s="2">
        <v>94</v>
      </c>
    </row>
    <row r="10" spans="1:5">
      <c r="A10" s="4" t="s">
        <v>38</v>
      </c>
      <c r="B10" s="6">
        <v>97.486842105263165</v>
      </c>
      <c r="C10" s="6">
        <v>70.421052631578945</v>
      </c>
      <c r="D10" s="6">
        <v>124.55263157894737</v>
      </c>
      <c r="E10" s="2">
        <v>76</v>
      </c>
    </row>
    <row r="11" spans="1:5">
      <c r="A11" s="7">
        <v>18264</v>
      </c>
      <c r="B11" s="6">
        <v>105.06451612903226</v>
      </c>
      <c r="C11" s="6">
        <v>78.58064516129032</v>
      </c>
      <c r="D11" s="6">
        <v>131.54838709677421</v>
      </c>
      <c r="E11" s="2">
        <v>31</v>
      </c>
    </row>
    <row r="12" spans="1:5">
      <c r="A12" s="4" t="s">
        <v>89</v>
      </c>
      <c r="B12" s="6">
        <v>127.05</v>
      </c>
      <c r="C12" s="6">
        <v>112.1</v>
      </c>
      <c r="D12" s="6">
        <v>142</v>
      </c>
      <c r="E12" s="2">
        <v>10</v>
      </c>
    </row>
    <row r="13" spans="1:5">
      <c r="A13" s="4" t="s">
        <v>544</v>
      </c>
      <c r="B13" s="6">
        <v>101.4845013477089</v>
      </c>
      <c r="C13" s="6">
        <v>74.754716981132077</v>
      </c>
      <c r="D13" s="6">
        <v>128.21428571428572</v>
      </c>
      <c r="E13" s="2">
        <v>742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1"/>
  <sheetViews>
    <sheetView workbookViewId="0">
      <selection activeCell="L19" sqref="L19"/>
    </sheetView>
  </sheetViews>
  <sheetFormatPr defaultRowHeight="15"/>
  <cols>
    <col min="1" max="1" width="38.85546875" bestFit="1" customWidth="1"/>
    <col min="2" max="2" width="23" bestFit="1" customWidth="1"/>
    <col min="3" max="3" width="16.5703125" bestFit="1" customWidth="1"/>
  </cols>
  <sheetData>
    <row r="1" spans="1:3">
      <c r="A1" s="3" t="s">
        <v>3</v>
      </c>
      <c r="B1" t="s">
        <v>549</v>
      </c>
    </row>
    <row r="2" spans="1:3">
      <c r="A2" s="3" t="s">
        <v>539</v>
      </c>
      <c r="B2" t="s">
        <v>549</v>
      </c>
    </row>
    <row r="4" spans="1:3">
      <c r="B4" s="3" t="s">
        <v>551</v>
      </c>
    </row>
    <row r="5" spans="1:3">
      <c r="A5" s="3" t="s">
        <v>543</v>
      </c>
      <c r="B5" t="s">
        <v>552</v>
      </c>
      <c r="C5" t="s">
        <v>548</v>
      </c>
    </row>
    <row r="6" spans="1:3">
      <c r="A6" s="4" t="s">
        <v>35</v>
      </c>
      <c r="B6" s="6">
        <v>163.5</v>
      </c>
      <c r="C6" s="2">
        <v>1</v>
      </c>
    </row>
    <row r="7" spans="1:3">
      <c r="A7" s="4" t="s">
        <v>48</v>
      </c>
      <c r="B7" s="6">
        <v>146</v>
      </c>
      <c r="C7" s="2">
        <v>1</v>
      </c>
    </row>
    <row r="8" spans="1:3">
      <c r="A8" s="4" t="s">
        <v>148</v>
      </c>
      <c r="B8" s="6">
        <v>145.125</v>
      </c>
      <c r="C8" s="2">
        <v>8</v>
      </c>
    </row>
    <row r="9" spans="1:3">
      <c r="A9" s="4" t="s">
        <v>454</v>
      </c>
      <c r="B9" s="6">
        <v>139.5</v>
      </c>
      <c r="C9" s="2">
        <v>1</v>
      </c>
    </row>
    <row r="10" spans="1:3">
      <c r="A10" s="4" t="s">
        <v>71</v>
      </c>
      <c r="B10" s="6">
        <v>131.5</v>
      </c>
      <c r="C10" s="2">
        <v>4</v>
      </c>
    </row>
    <row r="11" spans="1:3">
      <c r="A11" s="4" t="s">
        <v>191</v>
      </c>
      <c r="B11" s="6">
        <v>129</v>
      </c>
      <c r="C11" s="2">
        <v>2</v>
      </c>
    </row>
    <row r="12" spans="1:3">
      <c r="A12" s="4" t="s">
        <v>325</v>
      </c>
      <c r="B12" s="6">
        <v>128</v>
      </c>
      <c r="C12" s="2">
        <v>1</v>
      </c>
    </row>
    <row r="13" spans="1:3">
      <c r="A13" s="4" t="s">
        <v>33</v>
      </c>
      <c r="B13" s="6">
        <v>123.81034482758621</v>
      </c>
      <c r="C13" s="2">
        <v>29</v>
      </c>
    </row>
    <row r="14" spans="1:3">
      <c r="A14" s="4" t="s">
        <v>231</v>
      </c>
      <c r="B14" s="6">
        <v>118.4</v>
      </c>
      <c r="C14" s="2">
        <v>5</v>
      </c>
    </row>
    <row r="15" spans="1:3">
      <c r="A15" s="4" t="s">
        <v>181</v>
      </c>
      <c r="B15" s="6">
        <v>117.75</v>
      </c>
      <c r="C15" s="2">
        <v>2</v>
      </c>
    </row>
    <row r="16" spans="1:3">
      <c r="A16" s="4" t="s">
        <v>52</v>
      </c>
      <c r="B16" s="6">
        <v>115.36904761904762</v>
      </c>
      <c r="C16" s="2">
        <v>42</v>
      </c>
    </row>
    <row r="17" spans="1:3">
      <c r="A17" s="4" t="s">
        <v>76</v>
      </c>
      <c r="B17" s="6">
        <v>115.19491525423729</v>
      </c>
      <c r="C17" s="2">
        <v>59</v>
      </c>
    </row>
    <row r="18" spans="1:3">
      <c r="A18" s="4">
        <v>-1</v>
      </c>
      <c r="B18" s="6">
        <v>114.65</v>
      </c>
      <c r="C18" s="2">
        <v>10</v>
      </c>
    </row>
    <row r="19" spans="1:3">
      <c r="A19" s="4" t="s">
        <v>450</v>
      </c>
      <c r="B19" s="6">
        <v>113.5</v>
      </c>
      <c r="C19" s="2">
        <v>1</v>
      </c>
    </row>
    <row r="20" spans="1:3">
      <c r="A20" s="4" t="s">
        <v>45</v>
      </c>
      <c r="B20" s="6">
        <v>112.12053571428571</v>
      </c>
      <c r="C20" s="2">
        <v>112</v>
      </c>
    </row>
    <row r="21" spans="1:3">
      <c r="A21" s="4" t="s">
        <v>544</v>
      </c>
      <c r="B21" s="6">
        <v>116.54496402877697</v>
      </c>
      <c r="C21" s="2">
        <v>278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0"/>
  <sheetViews>
    <sheetView workbookViewId="0">
      <selection activeCell="G16" sqref="G16"/>
    </sheetView>
  </sheetViews>
  <sheetFormatPr defaultRowHeight="15"/>
  <cols>
    <col min="1" max="1" width="14.7109375" customWidth="1"/>
    <col min="2" max="2" width="23" bestFit="1" customWidth="1"/>
  </cols>
  <sheetData>
    <row r="1" spans="1:2">
      <c r="A1" s="3" t="s">
        <v>3</v>
      </c>
      <c r="B1" t="s">
        <v>550</v>
      </c>
    </row>
    <row r="2" spans="1:2">
      <c r="A2" s="3" t="s">
        <v>539</v>
      </c>
      <c r="B2" t="s">
        <v>549</v>
      </c>
    </row>
    <row r="4" spans="1:2">
      <c r="A4" s="3" t="s">
        <v>543</v>
      </c>
      <c r="B4" t="s">
        <v>552</v>
      </c>
    </row>
    <row r="5" spans="1:2">
      <c r="A5" s="4" t="s">
        <v>575</v>
      </c>
      <c r="B5" s="6">
        <v>175.75</v>
      </c>
    </row>
    <row r="6" spans="1:2">
      <c r="A6" s="4" t="s">
        <v>563</v>
      </c>
      <c r="B6" s="6">
        <v>173</v>
      </c>
    </row>
    <row r="7" spans="1:2">
      <c r="A7" s="4" t="s">
        <v>565</v>
      </c>
      <c r="B7" s="6">
        <v>172.5</v>
      </c>
    </row>
    <row r="8" spans="1:2">
      <c r="A8" s="4" t="s">
        <v>569</v>
      </c>
      <c r="B8" s="6">
        <v>168</v>
      </c>
    </row>
    <row r="9" spans="1:2">
      <c r="A9" s="4" t="s">
        <v>576</v>
      </c>
      <c r="B9" s="6">
        <v>163.5</v>
      </c>
    </row>
    <row r="10" spans="1:2">
      <c r="A10" s="4" t="s">
        <v>577</v>
      </c>
      <c r="B10" s="6">
        <v>154.5</v>
      </c>
    </row>
    <row r="11" spans="1:2">
      <c r="A11" s="4" t="s">
        <v>564</v>
      </c>
      <c r="B11" s="6">
        <v>150.69999999999999</v>
      </c>
    </row>
    <row r="12" spans="1:2">
      <c r="A12" s="4" t="s">
        <v>568</v>
      </c>
      <c r="B12" s="6">
        <v>146</v>
      </c>
    </row>
    <row r="13" spans="1:2">
      <c r="A13" s="4" t="s">
        <v>560</v>
      </c>
      <c r="B13" s="6">
        <v>145.66666666666666</v>
      </c>
    </row>
    <row r="14" spans="1:2">
      <c r="A14" s="4" t="s">
        <v>566</v>
      </c>
      <c r="B14" s="6">
        <v>139.5</v>
      </c>
    </row>
    <row r="15" spans="1:2">
      <c r="A15" s="4" t="s">
        <v>570</v>
      </c>
      <c r="B15" s="6">
        <v>135.33333333333334</v>
      </c>
    </row>
    <row r="16" spans="1:2">
      <c r="A16" s="4" t="s">
        <v>561</v>
      </c>
      <c r="B16" s="6">
        <v>131.75</v>
      </c>
    </row>
    <row r="17" spans="1:2">
      <c r="A17" s="4" t="s">
        <v>555</v>
      </c>
      <c r="B17" s="6">
        <v>127.5</v>
      </c>
    </row>
    <row r="18" spans="1:2">
      <c r="A18" s="4" t="s">
        <v>559</v>
      </c>
      <c r="B18" s="6">
        <v>123.5</v>
      </c>
    </row>
    <row r="19" spans="1:2">
      <c r="A19" s="4" t="s">
        <v>579</v>
      </c>
      <c r="B19" s="6">
        <v>121.41666666666667</v>
      </c>
    </row>
    <row r="20" spans="1:2">
      <c r="A20" s="4" t="s">
        <v>544</v>
      </c>
      <c r="B20" s="6">
        <v>146.30000000000001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7"/>
  <sheetViews>
    <sheetView workbookViewId="0">
      <selection activeCell="L11" sqref="L11"/>
    </sheetView>
  </sheetViews>
  <sheetFormatPr defaultRowHeight="15"/>
  <cols>
    <col min="1" max="1" width="14.7109375" customWidth="1"/>
    <col min="2" max="2" width="16.5703125" bestFit="1" customWidth="1"/>
    <col min="11" max="11" width="14.7109375" customWidth="1"/>
    <col min="12" max="12" width="26" customWidth="1"/>
    <col min="13" max="13" width="24.42578125" bestFit="1" customWidth="1"/>
  </cols>
  <sheetData>
    <row r="1" spans="1:12">
      <c r="A1" s="3" t="s">
        <v>4</v>
      </c>
      <c r="B1" t="s">
        <v>549</v>
      </c>
    </row>
    <row r="3" spans="1:12">
      <c r="A3" s="3" t="s">
        <v>543</v>
      </c>
      <c r="B3" t="s">
        <v>548</v>
      </c>
    </row>
    <row r="4" spans="1:12">
      <c r="A4" s="4" t="s">
        <v>567</v>
      </c>
      <c r="B4" s="2">
        <v>55</v>
      </c>
    </row>
    <row r="5" spans="1:12">
      <c r="A5" s="4" t="s">
        <v>575</v>
      </c>
      <c r="B5" s="2">
        <v>49</v>
      </c>
    </row>
    <row r="6" spans="1:12">
      <c r="A6" s="4" t="s">
        <v>557</v>
      </c>
      <c r="B6" s="2">
        <v>48</v>
      </c>
    </row>
    <row r="7" spans="1:12">
      <c r="A7" s="4" t="s">
        <v>558</v>
      </c>
      <c r="B7" s="2">
        <v>32</v>
      </c>
    </row>
    <row r="8" spans="1:12">
      <c r="A8" s="4" t="s">
        <v>556</v>
      </c>
      <c r="B8" s="2">
        <v>23</v>
      </c>
    </row>
    <row r="9" spans="1:12">
      <c r="A9" s="4" t="s">
        <v>576</v>
      </c>
      <c r="B9" s="2">
        <v>13</v>
      </c>
    </row>
    <row r="10" spans="1:12">
      <c r="A10" s="4" t="s">
        <v>571</v>
      </c>
      <c r="B10" s="2">
        <v>12</v>
      </c>
      <c r="K10" s="3" t="s">
        <v>543</v>
      </c>
      <c r="L10" t="s">
        <v>581</v>
      </c>
    </row>
    <row r="11" spans="1:12">
      <c r="A11" s="4" t="s">
        <v>573</v>
      </c>
      <c r="B11" s="2">
        <v>11</v>
      </c>
      <c r="K11" s="4" t="s">
        <v>556</v>
      </c>
      <c r="L11" s="2">
        <v>1</v>
      </c>
    </row>
    <row r="12" spans="1:12">
      <c r="A12" s="4" t="s">
        <v>579</v>
      </c>
      <c r="B12" s="2">
        <v>11</v>
      </c>
      <c r="K12" s="4" t="s">
        <v>557</v>
      </c>
      <c r="L12" s="2">
        <v>1</v>
      </c>
    </row>
    <row r="13" spans="1:12">
      <c r="A13" s="4" t="s">
        <v>578</v>
      </c>
      <c r="B13" s="2">
        <v>10</v>
      </c>
      <c r="K13" s="4" t="s">
        <v>558</v>
      </c>
      <c r="L13" s="2">
        <v>1</v>
      </c>
    </row>
    <row r="14" spans="1:12">
      <c r="A14" s="4" t="s">
        <v>580</v>
      </c>
      <c r="B14" s="2">
        <v>10</v>
      </c>
      <c r="K14" s="4" t="s">
        <v>544</v>
      </c>
      <c r="L14" s="2">
        <v>1</v>
      </c>
    </row>
    <row r="15" spans="1:12">
      <c r="A15" s="4" t="s">
        <v>561</v>
      </c>
      <c r="B15" s="2">
        <v>10</v>
      </c>
      <c r="K15" s="4" t="s">
        <v>561</v>
      </c>
      <c r="L15" s="2">
        <v>1</v>
      </c>
    </row>
    <row r="16" spans="1:12">
      <c r="A16" s="4" t="s">
        <v>572</v>
      </c>
      <c r="B16" s="2">
        <v>10</v>
      </c>
      <c r="K16" s="4" t="s">
        <v>562</v>
      </c>
      <c r="L16" s="2">
        <v>1</v>
      </c>
    </row>
    <row r="17" spans="1:12">
      <c r="A17" s="4" t="s">
        <v>562</v>
      </c>
      <c r="B17" s="2">
        <v>9</v>
      </c>
      <c r="K17" s="4" t="s">
        <v>567</v>
      </c>
      <c r="L17" s="2">
        <v>1</v>
      </c>
    </row>
    <row r="18" spans="1:12">
      <c r="A18" s="4" t="s">
        <v>574</v>
      </c>
      <c r="B18" s="2">
        <v>9</v>
      </c>
      <c r="K18" s="4" t="s">
        <v>571</v>
      </c>
      <c r="L18" s="2">
        <v>1</v>
      </c>
    </row>
    <row r="19" spans="1:12">
      <c r="A19" s="4" t="s">
        <v>544</v>
      </c>
      <c r="B19" s="2">
        <v>312</v>
      </c>
      <c r="K19" s="4" t="s">
        <v>572</v>
      </c>
      <c r="L19" s="2">
        <v>1</v>
      </c>
    </row>
    <row r="20" spans="1:12">
      <c r="K20" s="4" t="s">
        <v>573</v>
      </c>
      <c r="L20" s="2">
        <v>1</v>
      </c>
    </row>
    <row r="21" spans="1:12">
      <c r="K21" s="4" t="s">
        <v>574</v>
      </c>
      <c r="L21" s="2">
        <v>1</v>
      </c>
    </row>
    <row r="22" spans="1:12">
      <c r="K22" s="4" t="s">
        <v>575</v>
      </c>
      <c r="L22" s="2">
        <v>1</v>
      </c>
    </row>
    <row r="23" spans="1:12">
      <c r="K23" s="4" t="s">
        <v>576</v>
      </c>
      <c r="L23" s="2">
        <v>1</v>
      </c>
    </row>
    <row r="24" spans="1:12">
      <c r="K24" s="4" t="s">
        <v>578</v>
      </c>
      <c r="L24" s="2">
        <v>1</v>
      </c>
    </row>
    <row r="25" spans="1:12">
      <c r="K25" s="4" t="s">
        <v>579</v>
      </c>
      <c r="L25" s="2">
        <v>1</v>
      </c>
    </row>
    <row r="26" spans="1:12">
      <c r="K26" s="4" t="s">
        <v>580</v>
      </c>
      <c r="L26" s="2">
        <v>1</v>
      </c>
    </row>
    <row r="27" spans="1:12">
      <c r="K27" s="4" t="s">
        <v>544</v>
      </c>
      <c r="L27" s="2">
        <v>16</v>
      </c>
    </row>
  </sheetData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3"/>
  <sheetViews>
    <sheetView workbookViewId="0">
      <selection activeCell="J21" sqref="J21"/>
    </sheetView>
  </sheetViews>
  <sheetFormatPr defaultRowHeight="15"/>
  <cols>
    <col min="1" max="1" width="17.28515625" customWidth="1"/>
    <col min="2" max="3" width="16.5703125" customWidth="1"/>
    <col min="4" max="4" width="7.140625" customWidth="1"/>
  </cols>
  <sheetData>
    <row r="1" spans="1:3">
      <c r="A1" s="3" t="s">
        <v>539</v>
      </c>
      <c r="B1" t="s">
        <v>549</v>
      </c>
    </row>
    <row r="3" spans="1:3">
      <c r="A3" s="3" t="s">
        <v>543</v>
      </c>
      <c r="B3" t="s">
        <v>548</v>
      </c>
    </row>
    <row r="4" spans="1:3">
      <c r="A4" s="4" t="s">
        <v>7</v>
      </c>
      <c r="B4" s="2">
        <v>435</v>
      </c>
    </row>
    <row r="5" spans="1:3">
      <c r="A5" s="4" t="s">
        <v>80</v>
      </c>
      <c r="B5" s="2">
        <v>119</v>
      </c>
    </row>
    <row r="6" spans="1:3">
      <c r="A6" s="4" t="s">
        <v>43</v>
      </c>
      <c r="B6" s="2">
        <v>99</v>
      </c>
    </row>
    <row r="7" spans="1:3">
      <c r="A7" s="4" t="s">
        <v>547</v>
      </c>
      <c r="B7" s="2">
        <v>29</v>
      </c>
    </row>
    <row r="8" spans="1:3">
      <c r="A8" s="4" t="s">
        <v>545</v>
      </c>
      <c r="B8" s="2">
        <v>25</v>
      </c>
    </row>
    <row r="9" spans="1:3">
      <c r="A9" s="4" t="s">
        <v>31</v>
      </c>
      <c r="B9" s="2">
        <v>21</v>
      </c>
    </row>
    <row r="10" spans="1:3">
      <c r="A10" s="4" t="s">
        <v>546</v>
      </c>
      <c r="B10" s="2">
        <v>14</v>
      </c>
    </row>
    <row r="11" spans="1:3">
      <c r="A11" s="4" t="s">
        <v>544</v>
      </c>
      <c r="B11" s="2">
        <v>742</v>
      </c>
    </row>
    <row r="13" spans="1:3">
      <c r="C13" s="4"/>
    </row>
    <row r="14" spans="1:3">
      <c r="C14" s="4"/>
    </row>
    <row r="15" spans="1:3">
      <c r="C15" s="4"/>
    </row>
    <row r="16" spans="1:3">
      <c r="C16" s="4"/>
    </row>
    <row r="17" spans="3:3">
      <c r="C17" s="4"/>
    </row>
    <row r="18" spans="3:3">
      <c r="C18" s="4"/>
    </row>
    <row r="19" spans="3:3">
      <c r="C19" s="4"/>
    </row>
    <row r="20" spans="3:3">
      <c r="C20" s="4"/>
    </row>
    <row r="21" spans="3:3">
      <c r="C21" s="4"/>
    </row>
    <row r="22" spans="3:3">
      <c r="C22" s="4"/>
    </row>
    <row r="23" spans="3:3">
      <c r="C23" s="4"/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selection activeCell="D14" sqref="D14"/>
    </sheetView>
  </sheetViews>
  <sheetFormatPr defaultRowHeight="15"/>
  <cols>
    <col min="1" max="1" width="17.28515625" bestFit="1" customWidth="1"/>
    <col min="2" max="2" width="28" bestFit="1" customWidth="1"/>
    <col min="3" max="3" width="27.42578125" bestFit="1" customWidth="1"/>
    <col min="4" max="4" width="23" bestFit="1" customWidth="1"/>
  </cols>
  <sheetData>
    <row r="1" spans="1:4">
      <c r="A1" s="3" t="s">
        <v>539</v>
      </c>
      <c r="B1" t="s">
        <v>550</v>
      </c>
    </row>
    <row r="3" spans="1:4">
      <c r="B3" s="3" t="s">
        <v>551</v>
      </c>
    </row>
    <row r="4" spans="1:4">
      <c r="A4" s="3" t="s">
        <v>543</v>
      </c>
      <c r="B4" t="s">
        <v>553</v>
      </c>
      <c r="C4" t="s">
        <v>554</v>
      </c>
      <c r="D4" t="s">
        <v>552</v>
      </c>
    </row>
    <row r="5" spans="1:4">
      <c r="A5" s="4" t="s">
        <v>43</v>
      </c>
      <c r="B5" s="5">
        <v>85.688888888888883</v>
      </c>
      <c r="C5" s="5">
        <v>47.588888888888889</v>
      </c>
      <c r="D5" s="5">
        <v>66.638888888888886</v>
      </c>
    </row>
    <row r="6" spans="1:4">
      <c r="A6" s="4" t="s">
        <v>80</v>
      </c>
      <c r="B6" s="5">
        <v>133.89473684210526</v>
      </c>
      <c r="C6" s="5">
        <v>75.728070175438603</v>
      </c>
      <c r="D6" s="5">
        <v>104.81140350877193</v>
      </c>
    </row>
    <row r="7" spans="1:4">
      <c r="A7" s="4" t="s">
        <v>7</v>
      </c>
      <c r="B7" s="5">
        <v>134.12322274881515</v>
      </c>
      <c r="C7" s="5">
        <v>80.035545023696685</v>
      </c>
      <c r="D7" s="5">
        <v>107.07938388625593</v>
      </c>
    </row>
    <row r="8" spans="1:4">
      <c r="A8" s="4" t="s">
        <v>545</v>
      </c>
      <c r="B8" s="5">
        <v>210</v>
      </c>
      <c r="C8" s="5">
        <v>125</v>
      </c>
      <c r="D8" s="5">
        <v>167.5</v>
      </c>
    </row>
    <row r="9" spans="1:4">
      <c r="A9" s="4" t="s">
        <v>547</v>
      </c>
      <c r="B9" s="5">
        <v>156.18518518518519</v>
      </c>
      <c r="C9" s="5">
        <v>87.666666666666671</v>
      </c>
      <c r="D9" s="5">
        <v>121.92592592592592</v>
      </c>
    </row>
    <row r="10" spans="1:4">
      <c r="A10" s="4" t="s">
        <v>31</v>
      </c>
      <c r="B10" s="5">
        <v>118.05</v>
      </c>
      <c r="C10" s="5">
        <v>66.5</v>
      </c>
      <c r="D10" s="5">
        <v>92.275000000000006</v>
      </c>
    </row>
    <row r="11" spans="1:4">
      <c r="A11" s="4" t="s">
        <v>544</v>
      </c>
      <c r="B11" s="5">
        <v>128.25777777777779</v>
      </c>
      <c r="C11" s="5">
        <v>75.019259259259258</v>
      </c>
      <c r="D11" s="5">
        <v>101.63851851851852</v>
      </c>
    </row>
  </sheetData>
  <sortState columnSort="1" ref="A3:D12">
    <sortCondition descending="1" ref="B4"/>
  </sortState>
  <pageMargins left="0.7" right="0.7" top="0.75" bottom="0.75" header="0.3" footer="0.3"/>
  <pageSetup orientation="portrait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743"/>
  <sheetViews>
    <sheetView tabSelected="1" workbookViewId="0">
      <selection activeCell="J14" sqref="J14"/>
    </sheetView>
  </sheetViews>
  <sheetFormatPr defaultRowHeight="15"/>
  <cols>
    <col min="1" max="1" width="21" customWidth="1"/>
    <col min="2" max="2" width="12" customWidth="1"/>
    <col min="3" max="3" width="39.7109375" customWidth="1"/>
    <col min="4" max="4" width="13.140625" bestFit="1" customWidth="1"/>
    <col min="5" max="5" width="23" bestFit="1" customWidth="1"/>
    <col min="6" max="6" width="16.5703125" customWidth="1"/>
    <col min="7" max="7" width="24.42578125" customWidth="1"/>
    <col min="9" max="9" width="13.140625" bestFit="1" customWidth="1"/>
    <col min="10" max="10" width="23" bestFit="1" customWidth="1"/>
    <col min="11" max="11" width="16.5703125" bestFit="1" customWidth="1"/>
    <col min="12" max="12" width="23" customWidth="1"/>
    <col min="13" max="13" width="16.5703125" bestFit="1" customWidth="1"/>
  </cols>
  <sheetData>
    <row r="1" spans="1:10">
      <c r="A1" t="s">
        <v>583</v>
      </c>
      <c r="B1" t="s">
        <v>5</v>
      </c>
      <c r="C1" t="s">
        <v>0</v>
      </c>
      <c r="E1" s="3" t="s">
        <v>551</v>
      </c>
    </row>
    <row r="2" spans="1:10">
      <c r="A2" t="s">
        <v>584</v>
      </c>
      <c r="B2">
        <v>72</v>
      </c>
      <c r="C2" t="s">
        <v>7</v>
      </c>
      <c r="D2" s="3" t="s">
        <v>543</v>
      </c>
      <c r="E2" t="s">
        <v>552</v>
      </c>
      <c r="F2" t="s">
        <v>548</v>
      </c>
    </row>
    <row r="3" spans="1:10">
      <c r="A3" t="s">
        <v>585</v>
      </c>
      <c r="B3">
        <v>87.5</v>
      </c>
      <c r="C3" t="s">
        <v>11</v>
      </c>
      <c r="D3" s="4" t="s">
        <v>587</v>
      </c>
      <c r="E3" s="6">
        <v>87.673611111111114</v>
      </c>
      <c r="F3" s="2">
        <v>72</v>
      </c>
    </row>
    <row r="4" spans="1:10">
      <c r="A4" t="s">
        <v>586</v>
      </c>
      <c r="B4">
        <v>85</v>
      </c>
      <c r="C4" t="s">
        <v>7</v>
      </c>
      <c r="D4" s="4" t="s">
        <v>585</v>
      </c>
      <c r="E4" s="6">
        <v>97.106250000000003</v>
      </c>
      <c r="F4" s="2">
        <v>160</v>
      </c>
    </row>
    <row r="5" spans="1:10">
      <c r="A5" t="s">
        <v>584</v>
      </c>
      <c r="B5">
        <v>76.5</v>
      </c>
      <c r="C5" t="s">
        <v>7</v>
      </c>
      <c r="D5" s="4" t="s">
        <v>584</v>
      </c>
      <c r="E5" s="6">
        <v>102.89107142857142</v>
      </c>
      <c r="F5" s="2">
        <v>280</v>
      </c>
      <c r="H5" s="4"/>
      <c r="I5" s="2"/>
      <c r="J5" s="2"/>
    </row>
    <row r="6" spans="1:10">
      <c r="A6" t="s">
        <v>587</v>
      </c>
      <c r="B6">
        <v>114.5</v>
      </c>
      <c r="C6" t="s">
        <v>7</v>
      </c>
      <c r="D6" s="4" t="s">
        <v>588</v>
      </c>
      <c r="E6" s="6">
        <v>106.55095541401273</v>
      </c>
      <c r="F6" s="2">
        <v>157</v>
      </c>
      <c r="H6" s="4"/>
      <c r="I6" s="2"/>
      <c r="J6" s="2"/>
    </row>
    <row r="7" spans="1:10">
      <c r="A7" t="s">
        <v>585</v>
      </c>
      <c r="B7">
        <v>95</v>
      </c>
      <c r="C7" t="s">
        <v>7</v>
      </c>
      <c r="D7" s="4" t="s">
        <v>586</v>
      </c>
      <c r="E7" s="6">
        <v>103.48387096774194</v>
      </c>
      <c r="F7" s="2">
        <v>62</v>
      </c>
      <c r="G7" s="20"/>
      <c r="H7" s="4"/>
      <c r="I7" s="2"/>
      <c r="J7" s="2"/>
    </row>
    <row r="8" spans="1:10">
      <c r="A8" t="s">
        <v>588</v>
      </c>
      <c r="B8">
        <v>73.5</v>
      </c>
      <c r="C8" t="s">
        <v>7</v>
      </c>
      <c r="D8" s="4" t="s">
        <v>544</v>
      </c>
      <c r="E8" s="6">
        <v>100.96238030095759</v>
      </c>
      <c r="F8" s="2">
        <v>731</v>
      </c>
      <c r="H8" s="4"/>
      <c r="I8" s="2"/>
      <c r="J8" s="2"/>
    </row>
    <row r="9" spans="1:10">
      <c r="A9" t="s">
        <v>584</v>
      </c>
      <c r="B9">
        <v>114</v>
      </c>
      <c r="C9" t="s">
        <v>7</v>
      </c>
      <c r="D9" s="4"/>
      <c r="E9" s="6"/>
      <c r="F9" s="4"/>
      <c r="H9" s="4"/>
      <c r="I9" s="2"/>
      <c r="J9" s="2"/>
    </row>
    <row r="10" spans="1:10">
      <c r="A10" t="s">
        <v>585</v>
      </c>
      <c r="B10">
        <v>61</v>
      </c>
      <c r="C10" t="s">
        <v>31</v>
      </c>
      <c r="D10" s="4"/>
      <c r="E10" s="6"/>
      <c r="H10" s="4"/>
      <c r="I10" s="2"/>
      <c r="J10" s="2"/>
    </row>
    <row r="11" spans="1:10">
      <c r="A11" t="s">
        <v>586</v>
      </c>
      <c r="B11">
        <v>140</v>
      </c>
      <c r="C11" t="s">
        <v>7</v>
      </c>
      <c r="D11" s="4"/>
      <c r="E11" s="6"/>
    </row>
    <row r="12" spans="1:10">
      <c r="A12" t="s">
        <v>584</v>
      </c>
      <c r="B12">
        <v>163.5</v>
      </c>
      <c r="C12" t="s">
        <v>7</v>
      </c>
      <c r="D12" s="4"/>
      <c r="E12" s="2"/>
      <c r="F12" s="2"/>
    </row>
    <row r="13" spans="1:10">
      <c r="A13" t="s">
        <v>588</v>
      </c>
      <c r="B13">
        <v>85</v>
      </c>
      <c r="C13" t="s">
        <v>7</v>
      </c>
      <c r="D13" s="4"/>
      <c r="E13" s="6"/>
    </row>
    <row r="14" spans="1:10">
      <c r="A14" t="s">
        <v>585</v>
      </c>
      <c r="B14">
        <v>139</v>
      </c>
      <c r="C14" t="s">
        <v>40</v>
      </c>
      <c r="E14" s="18"/>
      <c r="F14" s="18"/>
      <c r="G14" s="18"/>
    </row>
    <row r="15" spans="1:10">
      <c r="A15" t="s">
        <v>588</v>
      </c>
      <c r="B15">
        <v>65.5</v>
      </c>
      <c r="C15" t="s">
        <v>43</v>
      </c>
      <c r="E15" s="19"/>
      <c r="F15" s="19"/>
      <c r="G15" s="19"/>
    </row>
    <row r="16" spans="1:10">
      <c r="A16" t="s">
        <v>584</v>
      </c>
      <c r="B16">
        <v>113.5</v>
      </c>
      <c r="C16" t="s">
        <v>7</v>
      </c>
      <c r="E16" s="4"/>
      <c r="F16" s="2"/>
      <c r="G16" s="2"/>
    </row>
    <row r="17" spans="1:7">
      <c r="A17" t="s">
        <v>584</v>
      </c>
      <c r="B17">
        <v>146</v>
      </c>
      <c r="C17" t="s">
        <v>46</v>
      </c>
      <c r="E17" s="4"/>
      <c r="F17" s="2"/>
      <c r="G17" s="2"/>
    </row>
    <row r="18" spans="1:7">
      <c r="A18" t="s">
        <v>584</v>
      </c>
      <c r="B18">
        <v>102</v>
      </c>
      <c r="C18" t="s">
        <v>49</v>
      </c>
      <c r="E18" s="4"/>
      <c r="F18" s="2"/>
      <c r="G18" s="2"/>
    </row>
    <row r="19" spans="1:7">
      <c r="A19" t="s">
        <v>588</v>
      </c>
      <c r="B19">
        <v>153.5</v>
      </c>
      <c r="C19" t="s">
        <v>50</v>
      </c>
      <c r="E19" s="4"/>
      <c r="F19" s="2"/>
      <c r="G19" s="2"/>
    </row>
    <row r="20" spans="1:7">
      <c r="A20" t="s">
        <v>588</v>
      </c>
      <c r="B20">
        <v>142.5</v>
      </c>
      <c r="C20" t="s">
        <v>53</v>
      </c>
      <c r="E20" s="4"/>
      <c r="F20" s="2"/>
      <c r="G20" s="2"/>
    </row>
    <row r="21" spans="1:7">
      <c r="A21" t="s">
        <v>588</v>
      </c>
      <c r="B21">
        <v>87.5</v>
      </c>
      <c r="C21" t="s">
        <v>7</v>
      </c>
      <c r="E21" s="20"/>
      <c r="F21" s="21"/>
      <c r="G21" s="21"/>
    </row>
    <row r="22" spans="1:7">
      <c r="A22" t="s">
        <v>585</v>
      </c>
      <c r="B22">
        <v>105.5</v>
      </c>
      <c r="C22" t="s">
        <v>7</v>
      </c>
    </row>
    <row r="23" spans="1:7">
      <c r="A23" t="s">
        <v>584</v>
      </c>
      <c r="B23">
        <v>96</v>
      </c>
      <c r="C23" t="s">
        <v>56</v>
      </c>
    </row>
    <row r="24" spans="1:7">
      <c r="A24" t="s">
        <v>584</v>
      </c>
      <c r="B24">
        <v>112.5</v>
      </c>
      <c r="C24" t="s">
        <v>58</v>
      </c>
    </row>
    <row r="25" spans="1:7">
      <c r="A25" t="s">
        <v>588</v>
      </c>
      <c r="B25">
        <v>84</v>
      </c>
      <c r="C25" t="s">
        <v>7</v>
      </c>
    </row>
    <row r="26" spans="1:7">
      <c r="A26" t="s">
        <v>588</v>
      </c>
      <c r="B26">
        <v>143</v>
      </c>
      <c r="C26" t="s">
        <v>7</v>
      </c>
    </row>
    <row r="27" spans="1:7">
      <c r="A27" t="s">
        <v>588</v>
      </c>
      <c r="B27">
        <v>86.5</v>
      </c>
      <c r="C27" t="s">
        <v>62</v>
      </c>
    </row>
    <row r="28" spans="1:7">
      <c r="A28" t="s">
        <v>584</v>
      </c>
      <c r="B28">
        <v>99.5</v>
      </c>
      <c r="C28" t="s">
        <v>7</v>
      </c>
    </row>
    <row r="29" spans="1:7">
      <c r="A29" t="s">
        <v>584</v>
      </c>
      <c r="B29">
        <v>47.5</v>
      </c>
      <c r="C29" t="s">
        <v>64</v>
      </c>
    </row>
    <row r="30" spans="1:7">
      <c r="A30" t="s">
        <v>588</v>
      </c>
      <c r="B30">
        <v>84</v>
      </c>
      <c r="C30" t="s">
        <v>66</v>
      </c>
    </row>
    <row r="31" spans="1:7">
      <c r="A31" t="s">
        <v>586</v>
      </c>
      <c r="B31">
        <v>85</v>
      </c>
      <c r="C31" t="s">
        <v>7</v>
      </c>
    </row>
    <row r="32" spans="1:7">
      <c r="A32" t="s">
        <v>584</v>
      </c>
      <c r="B32">
        <v>76.5</v>
      </c>
      <c r="C32" t="s">
        <v>7</v>
      </c>
    </row>
    <row r="33" spans="1:3">
      <c r="A33" t="s">
        <v>584</v>
      </c>
      <c r="B33">
        <v>96</v>
      </c>
      <c r="C33" t="s">
        <v>7</v>
      </c>
    </row>
    <row r="34" spans="1:3">
      <c r="A34" t="s">
        <v>584</v>
      </c>
      <c r="B34">
        <v>114.5</v>
      </c>
      <c r="C34" t="s">
        <v>69</v>
      </c>
    </row>
    <row r="35" spans="1:3">
      <c r="A35" t="s">
        <v>584</v>
      </c>
      <c r="B35">
        <v>121</v>
      </c>
      <c r="C35" t="s">
        <v>7</v>
      </c>
    </row>
    <row r="36" spans="1:3">
      <c r="A36" t="s">
        <v>586</v>
      </c>
      <c r="B36">
        <v>112.5</v>
      </c>
      <c r="C36" t="s">
        <v>7</v>
      </c>
    </row>
    <row r="37" spans="1:3">
      <c r="A37" t="s">
        <v>588</v>
      </c>
      <c r="B37">
        <v>106</v>
      </c>
      <c r="C37" t="s">
        <v>73</v>
      </c>
    </row>
    <row r="38" spans="1:3">
      <c r="A38" t="s">
        <v>584</v>
      </c>
      <c r="B38">
        <v>107</v>
      </c>
      <c r="C38" t="s">
        <v>7</v>
      </c>
    </row>
    <row r="39" spans="1:3">
      <c r="A39" t="s">
        <v>586</v>
      </c>
      <c r="B39">
        <v>110</v>
      </c>
      <c r="C39" t="s">
        <v>7</v>
      </c>
    </row>
    <row r="40" spans="1:3">
      <c r="A40" t="s">
        <v>584</v>
      </c>
      <c r="B40">
        <v>147.5</v>
      </c>
      <c r="C40" t="s">
        <v>78</v>
      </c>
    </row>
    <row r="41" spans="1:3">
      <c r="A41" t="s">
        <v>584</v>
      </c>
      <c r="B41">
        <v>106</v>
      </c>
      <c r="C41" t="s">
        <v>80</v>
      </c>
    </row>
    <row r="42" spans="1:3">
      <c r="A42" t="s">
        <v>588</v>
      </c>
      <c r="B42">
        <v>88</v>
      </c>
      <c r="C42" t="s">
        <v>43</v>
      </c>
    </row>
    <row r="43" spans="1:3">
      <c r="A43" t="s">
        <v>584</v>
      </c>
      <c r="B43">
        <v>98.5</v>
      </c>
      <c r="C43" t="s">
        <v>80</v>
      </c>
    </row>
    <row r="44" spans="1:3">
      <c r="A44" t="s">
        <v>588</v>
      </c>
      <c r="B44">
        <v>142.5</v>
      </c>
      <c r="C44" t="s">
        <v>83</v>
      </c>
    </row>
    <row r="45" spans="1:3">
      <c r="A45" t="s">
        <v>585</v>
      </c>
      <c r="B45">
        <v>82.5</v>
      </c>
      <c r="C45" t="s">
        <v>84</v>
      </c>
    </row>
    <row r="46" spans="1:3">
      <c r="A46" t="s">
        <v>588</v>
      </c>
      <c r="B46">
        <v>130</v>
      </c>
      <c r="C46" t="s">
        <v>78</v>
      </c>
    </row>
    <row r="47" spans="1:3">
      <c r="A47" t="s">
        <v>586</v>
      </c>
      <c r="B47">
        <v>155</v>
      </c>
      <c r="C47" t="s">
        <v>7</v>
      </c>
    </row>
    <row r="48" spans="1:3">
      <c r="A48" t="s">
        <v>584</v>
      </c>
      <c r="B48">
        <v>184.5</v>
      </c>
      <c r="C48" t="s">
        <v>90</v>
      </c>
    </row>
    <row r="49" spans="1:3">
      <c r="A49" t="s">
        <v>585</v>
      </c>
      <c r="B49">
        <v>29.5</v>
      </c>
      <c r="C49" t="s">
        <v>64</v>
      </c>
    </row>
    <row r="50" spans="1:3">
      <c r="A50" t="s">
        <v>586</v>
      </c>
      <c r="B50">
        <v>86.5</v>
      </c>
      <c r="C50" t="s">
        <v>95</v>
      </c>
    </row>
    <row r="51" spans="1:3">
      <c r="A51" t="s">
        <v>584</v>
      </c>
      <c r="B51">
        <v>81</v>
      </c>
      <c r="C51" t="s">
        <v>97</v>
      </c>
    </row>
    <row r="52" spans="1:3">
      <c r="A52" t="s">
        <v>584</v>
      </c>
      <c r="B52">
        <v>91</v>
      </c>
      <c r="C52" t="s">
        <v>7</v>
      </c>
    </row>
    <row r="53" spans="1:3">
      <c r="A53" t="s">
        <v>585</v>
      </c>
      <c r="B53">
        <v>114.5</v>
      </c>
      <c r="C53" t="s">
        <v>101</v>
      </c>
    </row>
    <row r="54" spans="1:3">
      <c r="A54" t="s">
        <v>586</v>
      </c>
      <c r="B54">
        <v>68</v>
      </c>
      <c r="C54" t="s">
        <v>103</v>
      </c>
    </row>
    <row r="55" spans="1:3">
      <c r="A55" t="s">
        <v>584</v>
      </c>
      <c r="B55">
        <v>115</v>
      </c>
      <c r="C55" t="s">
        <v>7</v>
      </c>
    </row>
    <row r="56" spans="1:3">
      <c r="A56" t="s">
        <v>584</v>
      </c>
      <c r="B56">
        <v>109.5</v>
      </c>
      <c r="C56" t="s">
        <v>7</v>
      </c>
    </row>
    <row r="57" spans="1:3">
      <c r="A57" t="s">
        <v>584</v>
      </c>
      <c r="B57">
        <v>75.5</v>
      </c>
      <c r="C57" t="s">
        <v>7</v>
      </c>
    </row>
    <row r="58" spans="1:3">
      <c r="A58" t="s">
        <v>588</v>
      </c>
      <c r="B58">
        <v>154.5</v>
      </c>
      <c r="C58" t="s">
        <v>7</v>
      </c>
    </row>
    <row r="59" spans="1:3">
      <c r="A59" t="s">
        <v>586</v>
      </c>
      <c r="B59">
        <v>143.5</v>
      </c>
      <c r="C59" t="s">
        <v>7</v>
      </c>
    </row>
    <row r="60" spans="1:3">
      <c r="A60" t="s">
        <v>588</v>
      </c>
      <c r="B60">
        <v>73.5</v>
      </c>
      <c r="C60" t="s">
        <v>7</v>
      </c>
    </row>
    <row r="61" spans="1:3">
      <c r="A61" t="s">
        <v>585</v>
      </c>
      <c r="B61">
        <v>95</v>
      </c>
      <c r="C61" t="s">
        <v>7</v>
      </c>
    </row>
    <row r="62" spans="1:3">
      <c r="A62" t="s">
        <v>588</v>
      </c>
      <c r="B62">
        <v>107</v>
      </c>
      <c r="C62" t="s">
        <v>78</v>
      </c>
    </row>
    <row r="63" spans="1:3">
      <c r="A63" t="s">
        <v>588</v>
      </c>
      <c r="B63">
        <v>115</v>
      </c>
      <c r="C63" t="s">
        <v>7</v>
      </c>
    </row>
    <row r="64" spans="1:3">
      <c r="A64" t="s">
        <v>584</v>
      </c>
      <c r="B64">
        <v>139.5</v>
      </c>
      <c r="C64" t="s">
        <v>111</v>
      </c>
    </row>
    <row r="65" spans="1:3">
      <c r="A65" t="s">
        <v>584</v>
      </c>
      <c r="B65">
        <v>67</v>
      </c>
      <c r="C65" t="s">
        <v>114</v>
      </c>
    </row>
    <row r="66" spans="1:3">
      <c r="A66" t="s">
        <v>584</v>
      </c>
      <c r="B66">
        <v>85</v>
      </c>
      <c r="C66" t="s">
        <v>7</v>
      </c>
    </row>
    <row r="67" spans="1:3">
      <c r="A67" t="s">
        <v>587</v>
      </c>
      <c r="B67">
        <v>118</v>
      </c>
      <c r="C67" t="s">
        <v>7</v>
      </c>
    </row>
    <row r="68" spans="1:3">
      <c r="A68" t="s">
        <v>586</v>
      </c>
      <c r="B68">
        <v>79.5</v>
      </c>
      <c r="C68" t="s">
        <v>7</v>
      </c>
    </row>
    <row r="69" spans="1:3">
      <c r="A69" t="s">
        <v>585</v>
      </c>
      <c r="B69">
        <v>56.5</v>
      </c>
      <c r="C69" t="s">
        <v>119</v>
      </c>
    </row>
    <row r="70" spans="1:3">
      <c r="A70" t="s">
        <v>585</v>
      </c>
      <c r="B70">
        <v>128.5</v>
      </c>
      <c r="C70" t="s">
        <v>7</v>
      </c>
    </row>
    <row r="71" spans="1:3">
      <c r="A71" t="s">
        <v>588</v>
      </c>
      <c r="B71">
        <v>97.5</v>
      </c>
      <c r="C71" t="s">
        <v>122</v>
      </c>
    </row>
    <row r="72" spans="1:3">
      <c r="A72" t="s">
        <v>588</v>
      </c>
      <c r="B72">
        <v>66.5</v>
      </c>
      <c r="C72" t="s">
        <v>124</v>
      </c>
    </row>
    <row r="73" spans="1:3">
      <c r="A73" t="s">
        <v>584</v>
      </c>
      <c r="B73">
        <v>179.5</v>
      </c>
      <c r="C73" t="s">
        <v>126</v>
      </c>
    </row>
    <row r="74" spans="1:3">
      <c r="A74" t="s">
        <v>587</v>
      </c>
      <c r="B74">
        <v>76</v>
      </c>
      <c r="C74" t="s">
        <v>84</v>
      </c>
    </row>
    <row r="75" spans="1:3">
      <c r="A75" t="s">
        <v>584</v>
      </c>
      <c r="B75">
        <v>112</v>
      </c>
      <c r="C75" t="s">
        <v>130</v>
      </c>
    </row>
    <row r="76" spans="1:3">
      <c r="A76" t="s">
        <v>585</v>
      </c>
      <c r="B76">
        <v>98</v>
      </c>
      <c r="C76" t="s">
        <v>7</v>
      </c>
    </row>
    <row r="77" spans="1:3">
      <c r="A77" t="s">
        <v>588</v>
      </c>
      <c r="B77">
        <v>128</v>
      </c>
      <c r="C77" t="s">
        <v>135</v>
      </c>
    </row>
    <row r="78" spans="1:3">
      <c r="A78" t="s">
        <v>588</v>
      </c>
      <c r="B78">
        <v>150.5</v>
      </c>
      <c r="C78" t="s">
        <v>136</v>
      </c>
    </row>
    <row r="79" spans="1:3">
      <c r="A79" t="s">
        <v>587</v>
      </c>
      <c r="B79">
        <v>87.5</v>
      </c>
      <c r="C79" t="s">
        <v>31</v>
      </c>
    </row>
    <row r="80" spans="1:3">
      <c r="A80" t="s">
        <v>585</v>
      </c>
      <c r="B80">
        <v>110</v>
      </c>
      <c r="C80" t="s">
        <v>7</v>
      </c>
    </row>
    <row r="81" spans="1:3">
      <c r="A81" t="s">
        <v>588</v>
      </c>
      <c r="B81">
        <v>113.5</v>
      </c>
      <c r="C81" t="s">
        <v>7</v>
      </c>
    </row>
    <row r="82" spans="1:3">
      <c r="A82" t="s">
        <v>584</v>
      </c>
      <c r="B82">
        <v>124</v>
      </c>
      <c r="C82" t="s">
        <v>7</v>
      </c>
    </row>
    <row r="83" spans="1:3">
      <c r="A83" t="s">
        <v>586</v>
      </c>
      <c r="B83">
        <v>56.5</v>
      </c>
      <c r="C83" t="s">
        <v>137</v>
      </c>
    </row>
    <row r="84" spans="1:3">
      <c r="A84" t="s">
        <v>586</v>
      </c>
      <c r="B84">
        <v>130</v>
      </c>
      <c r="C84" t="s">
        <v>7</v>
      </c>
    </row>
    <row r="85" spans="1:3">
      <c r="A85" t="s">
        <v>588</v>
      </c>
      <c r="B85">
        <v>77.5</v>
      </c>
      <c r="C85" t="s">
        <v>43</v>
      </c>
    </row>
    <row r="86" spans="1:3">
      <c r="A86" t="s">
        <v>588</v>
      </c>
      <c r="B86">
        <v>87</v>
      </c>
      <c r="C86" t="s">
        <v>80</v>
      </c>
    </row>
    <row r="87" spans="1:3">
      <c r="A87" t="s">
        <v>588</v>
      </c>
      <c r="B87">
        <v>53.5</v>
      </c>
      <c r="C87" t="s">
        <v>43</v>
      </c>
    </row>
    <row r="88" spans="1:3">
      <c r="A88" t="s">
        <v>585</v>
      </c>
      <c r="B88">
        <v>139</v>
      </c>
      <c r="C88" t="s">
        <v>40</v>
      </c>
    </row>
    <row r="89" spans="1:3">
      <c r="A89" t="s">
        <v>584</v>
      </c>
      <c r="B89">
        <v>114</v>
      </c>
      <c r="C89" t="s">
        <v>7</v>
      </c>
    </row>
    <row r="90" spans="1:3">
      <c r="A90" t="s">
        <v>588</v>
      </c>
      <c r="B90">
        <v>85.5</v>
      </c>
      <c r="C90" t="s">
        <v>7</v>
      </c>
    </row>
    <row r="91" spans="1:3">
      <c r="A91" t="s">
        <v>586</v>
      </c>
      <c r="B91">
        <v>48</v>
      </c>
      <c r="C91" t="s">
        <v>143</v>
      </c>
    </row>
    <row r="92" spans="1:3">
      <c r="A92" t="s">
        <v>584</v>
      </c>
      <c r="B92">
        <v>48</v>
      </c>
      <c r="C92" t="s">
        <v>144</v>
      </c>
    </row>
    <row r="93" spans="1:3">
      <c r="A93" t="s">
        <v>584</v>
      </c>
      <c r="B93">
        <v>174</v>
      </c>
      <c r="C93" t="s">
        <v>146</v>
      </c>
    </row>
    <row r="94" spans="1:3">
      <c r="A94" t="s">
        <v>584</v>
      </c>
      <c r="B94">
        <v>85</v>
      </c>
      <c r="C94" t="s">
        <v>147</v>
      </c>
    </row>
    <row r="95" spans="1:3">
      <c r="A95" t="s">
        <v>586</v>
      </c>
      <c r="B95">
        <v>106.5</v>
      </c>
      <c r="C95" t="s">
        <v>149</v>
      </c>
    </row>
    <row r="96" spans="1:3">
      <c r="A96" t="s">
        <v>588</v>
      </c>
      <c r="B96">
        <v>72.5</v>
      </c>
      <c r="C96" t="s">
        <v>151</v>
      </c>
    </row>
    <row r="97" spans="1:3">
      <c r="A97" t="s">
        <v>585</v>
      </c>
      <c r="B97">
        <v>85.5</v>
      </c>
      <c r="C97" t="s">
        <v>84</v>
      </c>
    </row>
    <row r="98" spans="1:3">
      <c r="A98" t="s">
        <v>585</v>
      </c>
      <c r="B98">
        <v>97.5</v>
      </c>
      <c r="C98" t="s">
        <v>7</v>
      </c>
    </row>
    <row r="99" spans="1:3">
      <c r="A99" t="s">
        <v>584</v>
      </c>
      <c r="B99">
        <v>99</v>
      </c>
      <c r="C99" t="s">
        <v>7</v>
      </c>
    </row>
    <row r="100" spans="1:3">
      <c r="A100" t="s">
        <v>585</v>
      </c>
      <c r="B100">
        <v>56.5</v>
      </c>
      <c r="C100" t="s">
        <v>43</v>
      </c>
    </row>
    <row r="101" spans="1:3">
      <c r="A101" t="s">
        <v>588</v>
      </c>
      <c r="B101">
        <v>133</v>
      </c>
      <c r="C101" t="s">
        <v>90</v>
      </c>
    </row>
    <row r="102" spans="1:3">
      <c r="A102" t="s">
        <v>584</v>
      </c>
      <c r="B102">
        <v>121</v>
      </c>
      <c r="C102" t="s">
        <v>7</v>
      </c>
    </row>
    <row r="103" spans="1:3">
      <c r="A103" t="s">
        <v>586</v>
      </c>
      <c r="B103">
        <v>85.5</v>
      </c>
      <c r="C103" t="s">
        <v>7</v>
      </c>
    </row>
    <row r="104" spans="1:3">
      <c r="A104" t="s">
        <v>588</v>
      </c>
      <c r="B104">
        <v>87.5</v>
      </c>
      <c r="C104" t="s">
        <v>161</v>
      </c>
    </row>
    <row r="105" spans="1:3">
      <c r="A105" t="s">
        <v>588</v>
      </c>
      <c r="B105">
        <v>237.5</v>
      </c>
      <c r="C105" t="s">
        <v>78</v>
      </c>
    </row>
    <row r="106" spans="1:3">
      <c r="A106" t="s">
        <v>584</v>
      </c>
      <c r="B106">
        <v>95.5</v>
      </c>
      <c r="C106" t="s">
        <v>80</v>
      </c>
    </row>
    <row r="107" spans="1:3">
      <c r="A107" t="s">
        <v>585</v>
      </c>
      <c r="B107">
        <v>104.5</v>
      </c>
      <c r="C107" t="s">
        <v>78</v>
      </c>
    </row>
    <row r="108" spans="1:3">
      <c r="A108" t="s">
        <v>586</v>
      </c>
      <c r="B108">
        <v>56.5</v>
      </c>
      <c r="C108" t="s">
        <v>167</v>
      </c>
    </row>
    <row r="109" spans="1:3">
      <c r="A109" t="s">
        <v>588</v>
      </c>
      <c r="B109">
        <v>55</v>
      </c>
      <c r="C109" t="s">
        <v>169</v>
      </c>
    </row>
    <row r="110" spans="1:3">
      <c r="A110" t="s">
        <v>587</v>
      </c>
      <c r="B110">
        <v>61.5</v>
      </c>
      <c r="C110" t="s">
        <v>31</v>
      </c>
    </row>
    <row r="111" spans="1:3">
      <c r="A111" t="s">
        <v>586</v>
      </c>
      <c r="B111">
        <v>157</v>
      </c>
      <c r="C111" t="s">
        <v>7</v>
      </c>
    </row>
    <row r="112" spans="1:3">
      <c r="A112" t="s">
        <v>585</v>
      </c>
      <c r="B112">
        <v>78</v>
      </c>
      <c r="C112" t="s">
        <v>80</v>
      </c>
    </row>
    <row r="113" spans="1:3">
      <c r="A113" t="s">
        <v>584</v>
      </c>
      <c r="B113">
        <v>113.5</v>
      </c>
      <c r="C113" t="s">
        <v>7</v>
      </c>
    </row>
    <row r="114" spans="1:3">
      <c r="A114" t="s">
        <v>586</v>
      </c>
      <c r="B114">
        <v>140</v>
      </c>
      <c r="C114" t="s">
        <v>7</v>
      </c>
    </row>
    <row r="115" spans="1:3">
      <c r="A115" t="s">
        <v>585</v>
      </c>
      <c r="B115">
        <v>132.5</v>
      </c>
      <c r="C115" t="s">
        <v>7</v>
      </c>
    </row>
    <row r="116" spans="1:3">
      <c r="A116" t="s">
        <v>588</v>
      </c>
      <c r="B116">
        <v>108</v>
      </c>
      <c r="C116" t="s">
        <v>80</v>
      </c>
    </row>
    <row r="117" spans="1:3">
      <c r="A117" t="s">
        <v>586</v>
      </c>
      <c r="B117">
        <v>80.5</v>
      </c>
      <c r="C117" t="s">
        <v>173</v>
      </c>
    </row>
    <row r="118" spans="1:3">
      <c r="A118" t="s">
        <v>587</v>
      </c>
      <c r="B118">
        <v>107.5</v>
      </c>
      <c r="C118" t="s">
        <v>7</v>
      </c>
    </row>
    <row r="119" spans="1:3">
      <c r="A119" t="s">
        <v>586</v>
      </c>
      <c r="B119">
        <v>95</v>
      </c>
      <c r="C119" t="s">
        <v>80</v>
      </c>
    </row>
    <row r="120" spans="1:3">
      <c r="A120" t="s">
        <v>585</v>
      </c>
      <c r="B120">
        <v>119.5</v>
      </c>
      <c r="C120" t="s">
        <v>178</v>
      </c>
    </row>
    <row r="121" spans="1:3">
      <c r="A121" t="s">
        <v>585</v>
      </c>
      <c r="B121">
        <v>134</v>
      </c>
      <c r="C121" t="s">
        <v>180</v>
      </c>
    </row>
    <row r="122" spans="1:3">
      <c r="A122" t="s">
        <v>588</v>
      </c>
      <c r="B122">
        <v>100.5</v>
      </c>
      <c r="C122" t="s">
        <v>7</v>
      </c>
    </row>
    <row r="123" spans="1:3">
      <c r="A123" t="s">
        <v>584</v>
      </c>
      <c r="B123">
        <v>107.5</v>
      </c>
      <c r="C123" t="s">
        <v>7</v>
      </c>
    </row>
    <row r="124" spans="1:3">
      <c r="A124" t="s">
        <v>588</v>
      </c>
      <c r="B124">
        <v>122</v>
      </c>
      <c r="C124" t="s">
        <v>80</v>
      </c>
    </row>
    <row r="125" spans="1:3">
      <c r="A125" t="s">
        <v>588</v>
      </c>
      <c r="B125">
        <v>92.5</v>
      </c>
      <c r="C125" t="s">
        <v>80</v>
      </c>
    </row>
    <row r="126" spans="1:3">
      <c r="A126" t="s">
        <v>587</v>
      </c>
      <c r="B126">
        <v>62</v>
      </c>
      <c r="C126" t="s">
        <v>43</v>
      </c>
    </row>
    <row r="127" spans="1:3">
      <c r="A127" t="s">
        <v>588</v>
      </c>
      <c r="B127">
        <v>39.5</v>
      </c>
      <c r="C127" t="s">
        <v>182</v>
      </c>
    </row>
    <row r="128" spans="1:3">
      <c r="A128" t="s">
        <v>584</v>
      </c>
      <c r="B128">
        <v>107.5</v>
      </c>
      <c r="C128" t="s">
        <v>7</v>
      </c>
    </row>
    <row r="129" spans="1:3">
      <c r="A129" t="s">
        <v>584</v>
      </c>
      <c r="B129">
        <v>40.5</v>
      </c>
      <c r="C129" t="s">
        <v>186</v>
      </c>
    </row>
    <row r="130" spans="1:3">
      <c r="A130" t="s">
        <v>584</v>
      </c>
      <c r="B130">
        <v>89.5</v>
      </c>
      <c r="C130" t="s">
        <v>188</v>
      </c>
    </row>
    <row r="131" spans="1:3">
      <c r="A131" t="s">
        <v>588</v>
      </c>
      <c r="B131">
        <v>81</v>
      </c>
      <c r="C131" t="s">
        <v>7</v>
      </c>
    </row>
    <row r="132" spans="1:3">
      <c r="A132" t="s">
        <v>588</v>
      </c>
      <c r="B132">
        <v>147</v>
      </c>
      <c r="C132" t="s">
        <v>78</v>
      </c>
    </row>
    <row r="133" spans="1:3">
      <c r="A133" t="s">
        <v>585</v>
      </c>
      <c r="B133">
        <v>85</v>
      </c>
      <c r="C133" t="s">
        <v>7</v>
      </c>
    </row>
    <row r="134" spans="1:3">
      <c r="A134" t="s">
        <v>587</v>
      </c>
      <c r="B134">
        <v>81.5</v>
      </c>
      <c r="C134" t="s">
        <v>192</v>
      </c>
    </row>
    <row r="135" spans="1:3">
      <c r="A135" t="s">
        <v>584</v>
      </c>
      <c r="B135">
        <v>168</v>
      </c>
      <c r="C135" t="s">
        <v>194</v>
      </c>
    </row>
    <row r="136" spans="1:3">
      <c r="A136" t="s">
        <v>588</v>
      </c>
      <c r="B136">
        <v>100.5</v>
      </c>
      <c r="C136" t="s">
        <v>196</v>
      </c>
    </row>
    <row r="137" spans="1:3">
      <c r="A137" t="s">
        <v>585</v>
      </c>
      <c r="B137">
        <v>97</v>
      </c>
      <c r="C137" t="s">
        <v>198</v>
      </c>
    </row>
    <row r="138" spans="1:3">
      <c r="A138" t="s">
        <v>588</v>
      </c>
      <c r="B138">
        <v>85</v>
      </c>
      <c r="C138" t="s">
        <v>7</v>
      </c>
    </row>
    <row r="139" spans="1:3">
      <c r="A139" t="s">
        <v>588</v>
      </c>
      <c r="B139">
        <v>153.5</v>
      </c>
      <c r="C139" t="s">
        <v>50</v>
      </c>
    </row>
    <row r="140" spans="1:3">
      <c r="A140" t="s">
        <v>586</v>
      </c>
      <c r="B140">
        <v>132.5</v>
      </c>
      <c r="C140" t="s">
        <v>80</v>
      </c>
    </row>
    <row r="141" spans="1:3">
      <c r="A141" t="s">
        <v>588</v>
      </c>
      <c r="B141">
        <v>100</v>
      </c>
      <c r="C141" t="s">
        <v>80</v>
      </c>
    </row>
    <row r="142" spans="1:3">
      <c r="A142" t="s">
        <v>584</v>
      </c>
      <c r="B142">
        <v>105</v>
      </c>
      <c r="C142" t="s">
        <v>200</v>
      </c>
    </row>
    <row r="143" spans="1:3">
      <c r="A143" t="s">
        <v>588</v>
      </c>
      <c r="B143">
        <v>87</v>
      </c>
      <c r="C143" t="s">
        <v>202</v>
      </c>
    </row>
    <row r="144" spans="1:3">
      <c r="A144" t="s">
        <v>588</v>
      </c>
      <c r="B144">
        <v>103.5</v>
      </c>
      <c r="C144" t="s">
        <v>206</v>
      </c>
    </row>
    <row r="145" spans="1:3">
      <c r="A145" t="s">
        <v>587</v>
      </c>
      <c r="B145">
        <v>124</v>
      </c>
      <c r="C145" t="s">
        <v>207</v>
      </c>
    </row>
    <row r="146" spans="1:3">
      <c r="A146" t="s">
        <v>584</v>
      </c>
      <c r="B146">
        <v>67</v>
      </c>
      <c r="C146" t="s">
        <v>209</v>
      </c>
    </row>
    <row r="147" spans="1:3">
      <c r="A147" t="s">
        <v>584</v>
      </c>
      <c r="B147">
        <v>87</v>
      </c>
      <c r="C147" t="s">
        <v>80</v>
      </c>
    </row>
    <row r="148" spans="1:3">
      <c r="A148" t="s">
        <v>588</v>
      </c>
      <c r="B148">
        <v>137.5</v>
      </c>
      <c r="C148" t="s">
        <v>210</v>
      </c>
    </row>
    <row r="149" spans="1:3">
      <c r="A149" t="s">
        <v>584</v>
      </c>
      <c r="B149">
        <v>100</v>
      </c>
      <c r="C149" t="s">
        <v>90</v>
      </c>
    </row>
    <row r="150" spans="1:3">
      <c r="A150" t="s">
        <v>584</v>
      </c>
      <c r="B150">
        <v>106.5</v>
      </c>
      <c r="C150" t="s">
        <v>211</v>
      </c>
    </row>
    <row r="151" spans="1:3">
      <c r="A151" t="s">
        <v>584</v>
      </c>
      <c r="B151">
        <v>98.5</v>
      </c>
      <c r="C151" t="s">
        <v>213</v>
      </c>
    </row>
    <row r="152" spans="1:3">
      <c r="A152" t="s">
        <v>586</v>
      </c>
      <c r="B152">
        <v>61</v>
      </c>
      <c r="C152" t="s">
        <v>169</v>
      </c>
    </row>
    <row r="153" spans="1:3">
      <c r="A153" t="s">
        <v>588</v>
      </c>
      <c r="B153">
        <v>106.5</v>
      </c>
      <c r="C153" t="s">
        <v>214</v>
      </c>
    </row>
    <row r="154" spans="1:3">
      <c r="A154" t="s">
        <v>584</v>
      </c>
      <c r="B154">
        <v>84.5</v>
      </c>
      <c r="C154" t="s">
        <v>80</v>
      </c>
    </row>
    <row r="155" spans="1:3">
      <c r="A155" t="s">
        <v>585</v>
      </c>
      <c r="B155">
        <v>109.5</v>
      </c>
      <c r="C155" t="s">
        <v>215</v>
      </c>
    </row>
    <row r="156" spans="1:3">
      <c r="A156" t="s">
        <v>584</v>
      </c>
      <c r="B156">
        <v>164</v>
      </c>
      <c r="C156" t="s">
        <v>90</v>
      </c>
    </row>
    <row r="157" spans="1:3">
      <c r="A157" t="s">
        <v>584</v>
      </c>
      <c r="B157">
        <v>169</v>
      </c>
      <c r="C157" t="s">
        <v>218</v>
      </c>
    </row>
    <row r="158" spans="1:3">
      <c r="A158" t="s">
        <v>584</v>
      </c>
      <c r="B158">
        <v>142</v>
      </c>
      <c r="C158" t="s">
        <v>78</v>
      </c>
    </row>
    <row r="159" spans="1:3">
      <c r="A159" t="s">
        <v>584</v>
      </c>
      <c r="B159">
        <v>76.5</v>
      </c>
      <c r="C159" t="s">
        <v>221</v>
      </c>
    </row>
    <row r="160" spans="1:3">
      <c r="A160" t="s">
        <v>584</v>
      </c>
      <c r="B160">
        <v>107</v>
      </c>
      <c r="C160" t="s">
        <v>222</v>
      </c>
    </row>
    <row r="161" spans="1:3">
      <c r="A161" t="s">
        <v>584</v>
      </c>
      <c r="B161">
        <v>171.5</v>
      </c>
      <c r="C161" t="s">
        <v>224</v>
      </c>
    </row>
    <row r="162" spans="1:3">
      <c r="A162" t="s">
        <v>584</v>
      </c>
      <c r="B162">
        <v>96</v>
      </c>
      <c r="C162" t="s">
        <v>56</v>
      </c>
    </row>
    <row r="163" spans="1:3">
      <c r="A163" t="s">
        <v>588</v>
      </c>
      <c r="B163">
        <v>142.5</v>
      </c>
      <c r="C163" t="s">
        <v>53</v>
      </c>
    </row>
    <row r="164" spans="1:3">
      <c r="A164" t="s">
        <v>588</v>
      </c>
      <c r="B164">
        <v>107</v>
      </c>
      <c r="C164" t="s">
        <v>225</v>
      </c>
    </row>
    <row r="165" spans="1:3">
      <c r="A165" t="s">
        <v>584</v>
      </c>
      <c r="B165">
        <v>145</v>
      </c>
      <c r="C165" t="s">
        <v>226</v>
      </c>
    </row>
    <row r="166" spans="1:3">
      <c r="A166" t="s">
        <v>587</v>
      </c>
      <c r="B166">
        <v>61.5</v>
      </c>
      <c r="C166" t="s">
        <v>169</v>
      </c>
    </row>
    <row r="167" spans="1:3">
      <c r="A167" t="s">
        <v>584</v>
      </c>
      <c r="B167">
        <v>42</v>
      </c>
      <c r="C167" t="s">
        <v>227</v>
      </c>
    </row>
    <row r="168" spans="1:3">
      <c r="A168" t="s">
        <v>587</v>
      </c>
      <c r="B168">
        <v>120</v>
      </c>
      <c r="C168" t="s">
        <v>229</v>
      </c>
    </row>
    <row r="169" spans="1:3">
      <c r="A169" t="s">
        <v>588</v>
      </c>
      <c r="B169">
        <v>62</v>
      </c>
      <c r="C169" t="s">
        <v>232</v>
      </c>
    </row>
    <row r="170" spans="1:3">
      <c r="A170" t="s">
        <v>588</v>
      </c>
      <c r="B170">
        <v>150.5</v>
      </c>
      <c r="C170" t="s">
        <v>78</v>
      </c>
    </row>
    <row r="171" spans="1:3">
      <c r="A171" t="s">
        <v>588</v>
      </c>
      <c r="B171">
        <v>87.5</v>
      </c>
      <c r="C171" t="s">
        <v>233</v>
      </c>
    </row>
    <row r="172" spans="1:3">
      <c r="A172" t="s">
        <v>588</v>
      </c>
      <c r="B172">
        <v>71.5</v>
      </c>
      <c r="C172" t="s">
        <v>80</v>
      </c>
    </row>
    <row r="173" spans="1:3">
      <c r="A173" t="s">
        <v>584</v>
      </c>
      <c r="B173">
        <v>51.5</v>
      </c>
      <c r="C173" t="s">
        <v>236</v>
      </c>
    </row>
    <row r="174" spans="1:3">
      <c r="A174" t="s">
        <v>584</v>
      </c>
      <c r="B174">
        <v>151.5</v>
      </c>
      <c r="C174" t="s">
        <v>237</v>
      </c>
    </row>
    <row r="175" spans="1:3">
      <c r="A175" t="s">
        <v>587</v>
      </c>
      <c r="B175">
        <v>77.5</v>
      </c>
      <c r="C175" t="s">
        <v>169</v>
      </c>
    </row>
    <row r="176" spans="1:3">
      <c r="A176" t="s">
        <v>584</v>
      </c>
      <c r="B176">
        <v>140</v>
      </c>
      <c r="C176" t="s">
        <v>239</v>
      </c>
    </row>
    <row r="177" spans="1:3">
      <c r="A177" t="s">
        <v>585</v>
      </c>
      <c r="B177">
        <v>98.5</v>
      </c>
      <c r="C177" t="s">
        <v>78</v>
      </c>
    </row>
    <row r="178" spans="1:3">
      <c r="A178" t="s">
        <v>584</v>
      </c>
      <c r="B178">
        <v>56.5</v>
      </c>
      <c r="C178" t="s">
        <v>241</v>
      </c>
    </row>
    <row r="179" spans="1:3">
      <c r="A179" t="s">
        <v>584</v>
      </c>
      <c r="B179">
        <v>161.5</v>
      </c>
      <c r="C179" t="s">
        <v>242</v>
      </c>
    </row>
    <row r="180" spans="1:3">
      <c r="A180" t="s">
        <v>585</v>
      </c>
      <c r="B180">
        <v>147</v>
      </c>
      <c r="C180" t="s">
        <v>244</v>
      </c>
    </row>
    <row r="181" spans="1:3">
      <c r="A181" t="s">
        <v>588</v>
      </c>
      <c r="B181">
        <v>61</v>
      </c>
      <c r="C181" t="s">
        <v>245</v>
      </c>
    </row>
    <row r="182" spans="1:3">
      <c r="A182" t="s">
        <v>587</v>
      </c>
      <c r="B182">
        <v>120</v>
      </c>
      <c r="C182" t="s">
        <v>246</v>
      </c>
    </row>
    <row r="183" spans="1:3">
      <c r="A183" t="s">
        <v>585</v>
      </c>
      <c r="B183">
        <v>124.5</v>
      </c>
      <c r="C183" t="s">
        <v>248</v>
      </c>
    </row>
    <row r="184" spans="1:3">
      <c r="A184" t="s">
        <v>584</v>
      </c>
      <c r="B184">
        <v>148</v>
      </c>
      <c r="C184" t="s">
        <v>249</v>
      </c>
    </row>
    <row r="185" spans="1:3">
      <c r="A185" t="s">
        <v>586</v>
      </c>
      <c r="B185">
        <v>59</v>
      </c>
      <c r="C185" t="s">
        <v>78</v>
      </c>
    </row>
    <row r="186" spans="1:3">
      <c r="A186" t="s">
        <v>584</v>
      </c>
      <c r="B186">
        <v>146.5</v>
      </c>
      <c r="C186" t="s">
        <v>252</v>
      </c>
    </row>
    <row r="187" spans="1:3">
      <c r="A187" t="s">
        <v>587</v>
      </c>
      <c r="B187">
        <v>91.5</v>
      </c>
      <c r="C187" t="s">
        <v>253</v>
      </c>
    </row>
    <row r="188" spans="1:3">
      <c r="A188" t="s">
        <v>585</v>
      </c>
      <c r="B188">
        <v>133</v>
      </c>
      <c r="C188" t="s">
        <v>254</v>
      </c>
    </row>
    <row r="189" spans="1:3">
      <c r="A189" t="s">
        <v>586</v>
      </c>
      <c r="B189">
        <v>140.5</v>
      </c>
      <c r="C189" t="s">
        <v>256</v>
      </c>
    </row>
    <row r="190" spans="1:3">
      <c r="A190" t="s">
        <v>584</v>
      </c>
      <c r="B190">
        <v>70.5</v>
      </c>
      <c r="C190" t="s">
        <v>257</v>
      </c>
    </row>
    <row r="191" spans="1:3">
      <c r="A191" t="s">
        <v>585</v>
      </c>
      <c r="B191">
        <v>84.5</v>
      </c>
      <c r="C191" t="s">
        <v>80</v>
      </c>
    </row>
    <row r="192" spans="1:3">
      <c r="A192" t="s">
        <v>588</v>
      </c>
      <c r="B192">
        <v>93.5</v>
      </c>
      <c r="C192" t="s">
        <v>259</v>
      </c>
    </row>
    <row r="193" spans="1:3">
      <c r="A193" t="s">
        <v>588</v>
      </c>
      <c r="B193">
        <v>134.5</v>
      </c>
      <c r="C193" t="s">
        <v>260</v>
      </c>
    </row>
    <row r="194" spans="1:3">
      <c r="A194" t="s">
        <v>584</v>
      </c>
      <c r="B194">
        <v>181</v>
      </c>
      <c r="C194" t="s">
        <v>262</v>
      </c>
    </row>
    <row r="195" spans="1:3">
      <c r="A195" t="s">
        <v>585</v>
      </c>
      <c r="B195">
        <v>84.5</v>
      </c>
      <c r="C195" t="s">
        <v>263</v>
      </c>
    </row>
    <row r="196" spans="1:3">
      <c r="A196" t="s">
        <v>588</v>
      </c>
      <c r="B196">
        <v>205</v>
      </c>
      <c r="C196" t="s">
        <v>264</v>
      </c>
    </row>
    <row r="197" spans="1:3">
      <c r="A197" t="s">
        <v>584</v>
      </c>
      <c r="B197">
        <v>48.5</v>
      </c>
      <c r="C197" t="s">
        <v>265</v>
      </c>
    </row>
    <row r="198" spans="1:3">
      <c r="A198" t="s">
        <v>588</v>
      </c>
      <c r="B198">
        <v>44.5</v>
      </c>
      <c r="C198" t="s">
        <v>266</v>
      </c>
    </row>
    <row r="199" spans="1:3">
      <c r="A199" t="s">
        <v>587</v>
      </c>
      <c r="B199">
        <v>52.5</v>
      </c>
      <c r="C199" t="s">
        <v>269</v>
      </c>
    </row>
    <row r="200" spans="1:3">
      <c r="A200" t="s">
        <v>587</v>
      </c>
      <c r="B200">
        <v>124</v>
      </c>
      <c r="C200" t="s">
        <v>271</v>
      </c>
    </row>
    <row r="201" spans="1:3">
      <c r="A201" t="s">
        <v>584</v>
      </c>
      <c r="B201">
        <v>64</v>
      </c>
      <c r="C201" t="s">
        <v>274</v>
      </c>
    </row>
    <row r="202" spans="1:3">
      <c r="A202" t="s">
        <v>585</v>
      </c>
      <c r="B202">
        <v>98</v>
      </c>
      <c r="C202" t="s">
        <v>275</v>
      </c>
    </row>
    <row r="203" spans="1:3">
      <c r="A203" t="s">
        <v>584</v>
      </c>
      <c r="B203">
        <v>56.5</v>
      </c>
      <c r="C203" t="s">
        <v>277</v>
      </c>
    </row>
    <row r="204" spans="1:3">
      <c r="A204" t="s">
        <v>585</v>
      </c>
      <c r="B204">
        <v>54</v>
      </c>
      <c r="C204" t="s">
        <v>280</v>
      </c>
    </row>
    <row r="205" spans="1:3">
      <c r="A205" t="s">
        <v>587</v>
      </c>
      <c r="B205">
        <v>81</v>
      </c>
      <c r="C205" t="s">
        <v>282</v>
      </c>
    </row>
    <row r="206" spans="1:3">
      <c r="A206" t="s">
        <v>585</v>
      </c>
      <c r="B206">
        <v>107.5</v>
      </c>
      <c r="C206" t="s">
        <v>283</v>
      </c>
    </row>
    <row r="207" spans="1:3">
      <c r="A207" t="s">
        <v>584</v>
      </c>
      <c r="B207">
        <v>112.5</v>
      </c>
      <c r="C207" t="s">
        <v>284</v>
      </c>
    </row>
    <row r="208" spans="1:3">
      <c r="A208" t="s">
        <v>584</v>
      </c>
      <c r="B208">
        <v>89</v>
      </c>
      <c r="C208" t="s">
        <v>58</v>
      </c>
    </row>
    <row r="209" spans="1:3">
      <c r="A209" t="s">
        <v>586</v>
      </c>
      <c r="B209">
        <v>100.5</v>
      </c>
      <c r="C209" t="s">
        <v>7</v>
      </c>
    </row>
    <row r="210" spans="1:3">
      <c r="A210" t="s">
        <v>584</v>
      </c>
      <c r="B210">
        <v>65</v>
      </c>
      <c r="C210" t="s">
        <v>286</v>
      </c>
    </row>
    <row r="211" spans="1:3">
      <c r="A211" t="s">
        <v>585</v>
      </c>
      <c r="B211">
        <v>41.5</v>
      </c>
      <c r="C211" t="s">
        <v>288</v>
      </c>
    </row>
    <row r="212" spans="1:3">
      <c r="A212" t="s">
        <v>588</v>
      </c>
      <c r="B212">
        <v>72.5</v>
      </c>
      <c r="C212" t="s">
        <v>289</v>
      </c>
    </row>
    <row r="213" spans="1:3">
      <c r="A213" t="s">
        <v>586</v>
      </c>
      <c r="B213">
        <v>61</v>
      </c>
      <c r="C213" t="s">
        <v>7</v>
      </c>
    </row>
    <row r="214" spans="1:3">
      <c r="A214" t="s">
        <v>585</v>
      </c>
      <c r="B214">
        <v>109.5</v>
      </c>
      <c r="C214" t="s">
        <v>169</v>
      </c>
    </row>
    <row r="215" spans="1:3">
      <c r="A215" t="s">
        <v>584</v>
      </c>
      <c r="B215">
        <v>84.5</v>
      </c>
      <c r="C215" t="s">
        <v>215</v>
      </c>
    </row>
    <row r="216" spans="1:3">
      <c r="A216" t="s">
        <v>585</v>
      </c>
      <c r="B216">
        <v>87.5</v>
      </c>
      <c r="C216" t="s">
        <v>80</v>
      </c>
    </row>
    <row r="217" spans="1:3">
      <c r="A217" t="s">
        <v>585</v>
      </c>
      <c r="B217">
        <v>92.5</v>
      </c>
      <c r="C217" t="s">
        <v>7</v>
      </c>
    </row>
    <row r="218" spans="1:3">
      <c r="A218" t="s">
        <v>585</v>
      </c>
      <c r="B218">
        <v>81.5</v>
      </c>
      <c r="C218" t="s">
        <v>43</v>
      </c>
    </row>
    <row r="219" spans="1:3">
      <c r="A219" t="s">
        <v>588</v>
      </c>
      <c r="B219">
        <v>79</v>
      </c>
      <c r="C219" t="s">
        <v>292</v>
      </c>
    </row>
    <row r="220" spans="1:3">
      <c r="A220" t="s">
        <v>584</v>
      </c>
      <c r="B220">
        <v>164</v>
      </c>
      <c r="C220" t="s">
        <v>293</v>
      </c>
    </row>
    <row r="221" spans="1:3">
      <c r="A221" t="s">
        <v>584</v>
      </c>
      <c r="B221">
        <v>169</v>
      </c>
      <c r="C221" t="s">
        <v>90</v>
      </c>
    </row>
    <row r="222" spans="1:3">
      <c r="A222" t="s">
        <v>584</v>
      </c>
      <c r="B222">
        <v>142</v>
      </c>
      <c r="C222" t="s">
        <v>218</v>
      </c>
    </row>
    <row r="223" spans="1:3">
      <c r="A223" t="s">
        <v>587</v>
      </c>
      <c r="B223">
        <v>47.5</v>
      </c>
      <c r="C223" t="s">
        <v>78</v>
      </c>
    </row>
    <row r="224" spans="1:3">
      <c r="A224" t="s">
        <v>584</v>
      </c>
      <c r="B224">
        <v>76.5</v>
      </c>
      <c r="C224" t="s">
        <v>43</v>
      </c>
    </row>
    <row r="225" spans="1:3">
      <c r="A225" t="s">
        <v>585</v>
      </c>
      <c r="B225">
        <v>69</v>
      </c>
      <c r="C225" t="s">
        <v>221</v>
      </c>
    </row>
    <row r="226" spans="1:3">
      <c r="A226" t="s">
        <v>588</v>
      </c>
      <c r="B226">
        <v>49</v>
      </c>
      <c r="C226" t="s">
        <v>43</v>
      </c>
    </row>
    <row r="227" spans="1:3">
      <c r="A227" t="s">
        <v>584</v>
      </c>
      <c r="B227">
        <v>171.5</v>
      </c>
      <c r="C227" t="s">
        <v>43</v>
      </c>
    </row>
    <row r="228" spans="1:3">
      <c r="A228" t="s">
        <v>584</v>
      </c>
      <c r="B228">
        <v>107</v>
      </c>
      <c r="C228" t="s">
        <v>224</v>
      </c>
    </row>
    <row r="229" spans="1:3">
      <c r="A229" t="s">
        <v>584</v>
      </c>
      <c r="B229">
        <v>59</v>
      </c>
      <c r="C229" t="s">
        <v>222</v>
      </c>
    </row>
    <row r="230" spans="1:3">
      <c r="A230" t="s">
        <v>584</v>
      </c>
      <c r="B230">
        <v>88.5</v>
      </c>
      <c r="C230" t="s">
        <v>299</v>
      </c>
    </row>
    <row r="231" spans="1:3">
      <c r="A231" t="s">
        <v>588</v>
      </c>
      <c r="B231">
        <v>107</v>
      </c>
      <c r="C231" t="s">
        <v>7</v>
      </c>
    </row>
    <row r="232" spans="1:3">
      <c r="A232" t="s">
        <v>588</v>
      </c>
      <c r="B232">
        <v>86.5</v>
      </c>
      <c r="C232" t="s">
        <v>225</v>
      </c>
    </row>
    <row r="233" spans="1:3">
      <c r="A233" t="s">
        <v>588</v>
      </c>
      <c r="B233">
        <v>84</v>
      </c>
      <c r="C233" t="s">
        <v>62</v>
      </c>
    </row>
    <row r="234" spans="1:3">
      <c r="A234" t="s">
        <v>586</v>
      </c>
      <c r="B234">
        <v>114.5</v>
      </c>
      <c r="C234" t="s">
        <v>7</v>
      </c>
    </row>
    <row r="235" spans="1:3">
      <c r="A235" t="s">
        <v>584</v>
      </c>
      <c r="B235">
        <v>145</v>
      </c>
      <c r="C235" t="s">
        <v>301</v>
      </c>
    </row>
    <row r="236" spans="1:3">
      <c r="A236" t="s">
        <v>588</v>
      </c>
      <c r="B236">
        <v>88</v>
      </c>
      <c r="C236" t="s">
        <v>226</v>
      </c>
    </row>
    <row r="237" spans="1:3">
      <c r="A237" t="s">
        <v>588</v>
      </c>
      <c r="B237">
        <v>100</v>
      </c>
      <c r="C237" t="s">
        <v>80</v>
      </c>
    </row>
    <row r="238" spans="1:3">
      <c r="A238" t="s">
        <v>587</v>
      </c>
      <c r="B238">
        <v>61.5</v>
      </c>
      <c r="C238" t="s">
        <v>303</v>
      </c>
    </row>
    <row r="239" spans="1:3">
      <c r="A239" t="s">
        <v>587</v>
      </c>
      <c r="B239">
        <v>96.5</v>
      </c>
      <c r="C239" t="s">
        <v>169</v>
      </c>
    </row>
    <row r="240" spans="1:3">
      <c r="A240" t="s">
        <v>588</v>
      </c>
      <c r="B240">
        <v>76</v>
      </c>
      <c r="C240" t="s">
        <v>7</v>
      </c>
    </row>
    <row r="241" spans="1:3">
      <c r="A241" t="s">
        <v>584</v>
      </c>
      <c r="B241">
        <v>15.5</v>
      </c>
      <c r="C241" t="s">
        <v>305</v>
      </c>
    </row>
    <row r="242" spans="1:3">
      <c r="A242" t="s">
        <v>588</v>
      </c>
      <c r="B242">
        <v>83.5</v>
      </c>
      <c r="C242" t="s">
        <v>7</v>
      </c>
    </row>
    <row r="243" spans="1:3">
      <c r="A243" t="s">
        <v>587</v>
      </c>
      <c r="B243">
        <v>120</v>
      </c>
      <c r="C243" t="s">
        <v>7</v>
      </c>
    </row>
    <row r="244" spans="1:3">
      <c r="A244" t="s">
        <v>584</v>
      </c>
      <c r="B244">
        <v>163</v>
      </c>
      <c r="C244" t="s">
        <v>229</v>
      </c>
    </row>
    <row r="245" spans="1:3">
      <c r="A245" t="s">
        <v>585</v>
      </c>
      <c r="B245">
        <v>100</v>
      </c>
      <c r="C245" t="s">
        <v>7</v>
      </c>
    </row>
    <row r="246" spans="1:3">
      <c r="A246" t="s">
        <v>584</v>
      </c>
      <c r="B246">
        <v>52.5</v>
      </c>
      <c r="C246" t="s">
        <v>308</v>
      </c>
    </row>
    <row r="247" spans="1:3">
      <c r="A247" t="s">
        <v>584</v>
      </c>
      <c r="B247">
        <v>42</v>
      </c>
      <c r="C247" t="s">
        <v>31</v>
      </c>
    </row>
    <row r="248" spans="1:3">
      <c r="A248" t="s">
        <v>585</v>
      </c>
      <c r="B248">
        <v>50</v>
      </c>
      <c r="C248" t="s">
        <v>227</v>
      </c>
    </row>
    <row r="249" spans="1:3">
      <c r="A249" t="s">
        <v>585</v>
      </c>
      <c r="B249">
        <v>93</v>
      </c>
      <c r="C249" t="s">
        <v>310</v>
      </c>
    </row>
    <row r="250" spans="1:3">
      <c r="A250" t="s">
        <v>585</v>
      </c>
      <c r="B250">
        <v>94.5</v>
      </c>
      <c r="C250" t="s">
        <v>311</v>
      </c>
    </row>
    <row r="251" spans="1:3">
      <c r="A251" t="s">
        <v>588</v>
      </c>
      <c r="B251">
        <v>150.5</v>
      </c>
      <c r="C251" t="s">
        <v>7</v>
      </c>
    </row>
    <row r="252" spans="1:3">
      <c r="A252" t="s">
        <v>584</v>
      </c>
      <c r="B252">
        <v>102</v>
      </c>
      <c r="C252" t="s">
        <v>78</v>
      </c>
    </row>
    <row r="253" spans="1:3">
      <c r="A253" t="s">
        <v>588</v>
      </c>
      <c r="B253">
        <v>62</v>
      </c>
      <c r="C253" t="s">
        <v>7</v>
      </c>
    </row>
    <row r="254" spans="1:3">
      <c r="A254" t="s">
        <v>588</v>
      </c>
      <c r="B254">
        <v>87.5</v>
      </c>
      <c r="C254" t="s">
        <v>232</v>
      </c>
    </row>
    <row r="255" spans="1:3">
      <c r="A255" t="s">
        <v>588</v>
      </c>
      <c r="B255">
        <v>84</v>
      </c>
      <c r="C255" t="s">
        <v>233</v>
      </c>
    </row>
    <row r="256" spans="1:3">
      <c r="A256" t="s">
        <v>588</v>
      </c>
      <c r="B256">
        <v>143</v>
      </c>
      <c r="C256" t="s">
        <v>66</v>
      </c>
    </row>
    <row r="257" spans="1:3">
      <c r="A257" t="s">
        <v>585</v>
      </c>
      <c r="B257">
        <v>155</v>
      </c>
      <c r="C257" t="s">
        <v>7</v>
      </c>
    </row>
    <row r="258" spans="1:3">
      <c r="A258" t="s">
        <v>588</v>
      </c>
      <c r="B258">
        <v>71.5</v>
      </c>
      <c r="C258" t="s">
        <v>313</v>
      </c>
    </row>
    <row r="259" spans="1:3">
      <c r="A259" t="s">
        <v>584</v>
      </c>
      <c r="B259">
        <v>108</v>
      </c>
      <c r="C259" t="s">
        <v>80</v>
      </c>
    </row>
    <row r="260" spans="1:3">
      <c r="A260" t="s">
        <v>584</v>
      </c>
      <c r="B260">
        <v>151.5</v>
      </c>
      <c r="C260" t="s">
        <v>7</v>
      </c>
    </row>
    <row r="261" spans="1:3">
      <c r="A261" t="s">
        <v>584</v>
      </c>
      <c r="B261">
        <v>51.5</v>
      </c>
      <c r="C261" t="s">
        <v>237</v>
      </c>
    </row>
    <row r="262" spans="1:3">
      <c r="A262" t="s">
        <v>584</v>
      </c>
      <c r="B262">
        <v>140</v>
      </c>
      <c r="C262" t="s">
        <v>236</v>
      </c>
    </row>
    <row r="263" spans="1:3">
      <c r="A263" t="s">
        <v>587</v>
      </c>
      <c r="B263">
        <v>77.5</v>
      </c>
      <c r="C263" t="s">
        <v>239</v>
      </c>
    </row>
    <row r="264" spans="1:3">
      <c r="A264" t="s">
        <v>588</v>
      </c>
      <c r="B264">
        <v>63.5</v>
      </c>
      <c r="C264" t="s">
        <v>169</v>
      </c>
    </row>
    <row r="265" spans="1:3">
      <c r="A265" t="s">
        <v>588</v>
      </c>
      <c r="B265">
        <v>109</v>
      </c>
      <c r="C265" t="s">
        <v>316</v>
      </c>
    </row>
    <row r="266" spans="1:3">
      <c r="A266" t="s">
        <v>584</v>
      </c>
      <c r="B266">
        <v>96</v>
      </c>
      <c r="C266" t="s">
        <v>7</v>
      </c>
    </row>
    <row r="267" spans="1:3">
      <c r="A267" t="s">
        <v>585</v>
      </c>
      <c r="B267">
        <v>101</v>
      </c>
      <c r="C267" t="s">
        <v>7</v>
      </c>
    </row>
    <row r="268" spans="1:3">
      <c r="A268" t="s">
        <v>585</v>
      </c>
      <c r="B268">
        <v>98.5</v>
      </c>
      <c r="C268" t="s">
        <v>241</v>
      </c>
    </row>
    <row r="269" spans="1:3">
      <c r="A269" t="s">
        <v>584</v>
      </c>
      <c r="B269">
        <v>77.5</v>
      </c>
      <c r="C269" t="s">
        <v>80</v>
      </c>
    </row>
    <row r="270" spans="1:3">
      <c r="A270" t="s">
        <v>584</v>
      </c>
      <c r="B270">
        <v>161.5</v>
      </c>
      <c r="C270" t="s">
        <v>78</v>
      </c>
    </row>
    <row r="271" spans="1:3">
      <c r="A271" t="s">
        <v>584</v>
      </c>
      <c r="B271">
        <v>56.5</v>
      </c>
      <c r="C271" t="s">
        <v>320</v>
      </c>
    </row>
    <row r="272" spans="1:3">
      <c r="A272" t="s">
        <v>585</v>
      </c>
      <c r="B272">
        <v>147</v>
      </c>
      <c r="C272" t="s">
        <v>244</v>
      </c>
    </row>
    <row r="273" spans="1:3">
      <c r="A273" t="s">
        <v>584</v>
      </c>
      <c r="B273">
        <v>90</v>
      </c>
      <c r="C273" t="s">
        <v>242</v>
      </c>
    </row>
    <row r="274" spans="1:3">
      <c r="A274" t="s">
        <v>588</v>
      </c>
      <c r="B274">
        <v>58</v>
      </c>
      <c r="C274" t="s">
        <v>245</v>
      </c>
    </row>
    <row r="275" spans="1:3">
      <c r="A275" t="s">
        <v>588</v>
      </c>
      <c r="B275">
        <v>61</v>
      </c>
      <c r="C275" t="s">
        <v>7</v>
      </c>
    </row>
    <row r="276" spans="1:3">
      <c r="A276" t="s">
        <v>587</v>
      </c>
      <c r="B276">
        <v>120</v>
      </c>
      <c r="C276" t="s">
        <v>323</v>
      </c>
    </row>
    <row r="277" spans="1:3">
      <c r="A277" t="s">
        <v>584</v>
      </c>
      <c r="B277">
        <v>128</v>
      </c>
      <c r="C277" t="s">
        <v>246</v>
      </c>
    </row>
    <row r="278" spans="1:3">
      <c r="A278" t="s">
        <v>584</v>
      </c>
      <c r="B278">
        <v>99.5</v>
      </c>
      <c r="C278" t="s">
        <v>248</v>
      </c>
    </row>
    <row r="279" spans="1:3">
      <c r="A279" t="s">
        <v>584</v>
      </c>
      <c r="B279">
        <v>96</v>
      </c>
      <c r="C279" t="s">
        <v>7</v>
      </c>
    </row>
    <row r="280" spans="1:3">
      <c r="A280" t="s">
        <v>587</v>
      </c>
      <c r="B280">
        <v>101</v>
      </c>
      <c r="C280" t="s">
        <v>7</v>
      </c>
    </row>
    <row r="281" spans="1:3">
      <c r="A281" t="s">
        <v>584</v>
      </c>
      <c r="B281">
        <v>148</v>
      </c>
      <c r="C281" t="s">
        <v>7</v>
      </c>
    </row>
    <row r="282" spans="1:3">
      <c r="A282" t="s">
        <v>588</v>
      </c>
      <c r="B282">
        <v>142</v>
      </c>
      <c r="C282" t="s">
        <v>7</v>
      </c>
    </row>
    <row r="283" spans="1:3">
      <c r="A283" t="s">
        <v>588</v>
      </c>
      <c r="B283">
        <v>169</v>
      </c>
      <c r="C283" t="s">
        <v>78</v>
      </c>
    </row>
    <row r="284" spans="1:3">
      <c r="A284" t="s">
        <v>585</v>
      </c>
      <c r="B284">
        <v>124.5</v>
      </c>
      <c r="C284" t="s">
        <v>326</v>
      </c>
    </row>
    <row r="285" spans="1:3">
      <c r="A285" t="s">
        <v>586</v>
      </c>
      <c r="B285">
        <v>59</v>
      </c>
      <c r="C285" t="s">
        <v>78</v>
      </c>
    </row>
    <row r="286" spans="1:3">
      <c r="A286" t="s">
        <v>588</v>
      </c>
      <c r="B286">
        <v>52.5</v>
      </c>
      <c r="C286" t="s">
        <v>249</v>
      </c>
    </row>
    <row r="287" spans="1:3">
      <c r="A287" t="s">
        <v>586</v>
      </c>
      <c r="B287">
        <v>75.5</v>
      </c>
      <c r="C287" t="s">
        <v>252</v>
      </c>
    </row>
    <row r="288" spans="1:3">
      <c r="A288" t="s">
        <v>584</v>
      </c>
      <c r="B288">
        <v>139</v>
      </c>
      <c r="C288" t="s">
        <v>328</v>
      </c>
    </row>
    <row r="289" spans="1:3">
      <c r="A289" t="s">
        <v>584</v>
      </c>
      <c r="B289">
        <v>102.5</v>
      </c>
      <c r="C289" t="s">
        <v>80</v>
      </c>
    </row>
    <row r="290" spans="1:3">
      <c r="A290" t="s">
        <v>588</v>
      </c>
      <c r="B290">
        <v>60.5</v>
      </c>
      <c r="C290" t="s">
        <v>78</v>
      </c>
    </row>
    <row r="291" spans="1:3">
      <c r="A291" t="s">
        <v>584</v>
      </c>
      <c r="B291">
        <v>146.5</v>
      </c>
      <c r="C291" t="s">
        <v>330</v>
      </c>
    </row>
    <row r="292" spans="1:3">
      <c r="A292" t="s">
        <v>584</v>
      </c>
      <c r="B292">
        <v>125</v>
      </c>
      <c r="C292" t="s">
        <v>331</v>
      </c>
    </row>
    <row r="293" spans="1:3">
      <c r="A293" t="s">
        <v>584</v>
      </c>
      <c r="B293">
        <v>81</v>
      </c>
      <c r="C293" t="s">
        <v>253</v>
      </c>
    </row>
    <row r="294" spans="1:3">
      <c r="A294" t="s">
        <v>585</v>
      </c>
      <c r="B294">
        <v>133</v>
      </c>
      <c r="C294" t="s">
        <v>333</v>
      </c>
    </row>
    <row r="295" spans="1:3">
      <c r="A295" t="s">
        <v>585</v>
      </c>
      <c r="B295">
        <v>77</v>
      </c>
      <c r="C295" t="s">
        <v>334</v>
      </c>
    </row>
    <row r="296" spans="1:3">
      <c r="A296" t="s">
        <v>588</v>
      </c>
      <c r="B296">
        <v>92</v>
      </c>
      <c r="C296" t="s">
        <v>256</v>
      </c>
    </row>
    <row r="297" spans="1:3">
      <c r="A297" t="s">
        <v>584</v>
      </c>
      <c r="B297">
        <v>121</v>
      </c>
      <c r="C297" t="s">
        <v>335</v>
      </c>
    </row>
    <row r="298" spans="1:3">
      <c r="A298" t="s">
        <v>588</v>
      </c>
      <c r="B298">
        <v>162.5</v>
      </c>
      <c r="C298" t="s">
        <v>80</v>
      </c>
    </row>
    <row r="299" spans="1:3">
      <c r="A299" t="s">
        <v>584</v>
      </c>
      <c r="B299">
        <v>60</v>
      </c>
      <c r="C299" t="s">
        <v>336</v>
      </c>
    </row>
    <row r="300" spans="1:3">
      <c r="A300" t="s">
        <v>588</v>
      </c>
      <c r="B300">
        <v>90.5</v>
      </c>
      <c r="C300" t="s">
        <v>337</v>
      </c>
    </row>
    <row r="301" spans="1:3">
      <c r="A301" t="s">
        <v>584</v>
      </c>
      <c r="B301">
        <v>114.5</v>
      </c>
      <c r="C301" t="s">
        <v>338</v>
      </c>
    </row>
    <row r="302" spans="1:3">
      <c r="A302" t="s">
        <v>584</v>
      </c>
      <c r="B302">
        <v>121</v>
      </c>
      <c r="C302" t="s">
        <v>340</v>
      </c>
    </row>
    <row r="303" spans="1:3">
      <c r="A303" t="s">
        <v>587</v>
      </c>
      <c r="B303">
        <v>110</v>
      </c>
      <c r="C303" t="s">
        <v>341</v>
      </c>
    </row>
    <row r="304" spans="1:3">
      <c r="A304" t="s">
        <v>587</v>
      </c>
      <c r="B304">
        <v>91.5</v>
      </c>
      <c r="C304" t="s">
        <v>69</v>
      </c>
    </row>
    <row r="305" spans="1:3">
      <c r="A305" t="s">
        <v>588</v>
      </c>
      <c r="B305">
        <v>70.5</v>
      </c>
      <c r="C305" t="s">
        <v>7</v>
      </c>
    </row>
    <row r="306" spans="1:3">
      <c r="A306" t="s">
        <v>584</v>
      </c>
      <c r="B306">
        <v>70.5</v>
      </c>
      <c r="C306" t="s">
        <v>78</v>
      </c>
    </row>
    <row r="307" spans="1:3">
      <c r="A307" t="s">
        <v>584</v>
      </c>
      <c r="B307">
        <v>76.5</v>
      </c>
      <c r="C307" t="s">
        <v>254</v>
      </c>
    </row>
    <row r="308" spans="1:3">
      <c r="A308" t="s">
        <v>584</v>
      </c>
      <c r="B308">
        <v>92</v>
      </c>
      <c r="C308" t="s">
        <v>342</v>
      </c>
    </row>
    <row r="309" spans="1:3">
      <c r="A309" t="s">
        <v>586</v>
      </c>
      <c r="B309">
        <v>140.5</v>
      </c>
      <c r="C309" t="s">
        <v>80</v>
      </c>
    </row>
    <row r="310" spans="1:3">
      <c r="A310" t="s">
        <v>584</v>
      </c>
      <c r="B310">
        <v>82</v>
      </c>
      <c r="C310" t="s">
        <v>344</v>
      </c>
    </row>
    <row r="311" spans="1:3">
      <c r="A311" t="s">
        <v>585</v>
      </c>
      <c r="B311">
        <v>84.5</v>
      </c>
      <c r="C311" t="s">
        <v>80</v>
      </c>
    </row>
    <row r="312" spans="1:3">
      <c r="A312" t="s">
        <v>588</v>
      </c>
      <c r="B312">
        <v>134.5</v>
      </c>
      <c r="C312" t="s">
        <v>257</v>
      </c>
    </row>
    <row r="313" spans="1:3">
      <c r="A313" t="s">
        <v>585</v>
      </c>
      <c r="B313">
        <v>164.5</v>
      </c>
      <c r="C313" t="s">
        <v>345</v>
      </c>
    </row>
    <row r="314" spans="1:3">
      <c r="A314" t="s">
        <v>585</v>
      </c>
      <c r="B314">
        <v>44</v>
      </c>
      <c r="C314" t="s">
        <v>259</v>
      </c>
    </row>
    <row r="315" spans="1:3">
      <c r="A315" t="s">
        <v>588</v>
      </c>
      <c r="B315">
        <v>93.5</v>
      </c>
      <c r="C315" t="s">
        <v>262</v>
      </c>
    </row>
    <row r="316" spans="1:3">
      <c r="A316" t="s">
        <v>588</v>
      </c>
      <c r="B316">
        <v>109</v>
      </c>
      <c r="C316" t="s">
        <v>7</v>
      </c>
    </row>
    <row r="317" spans="1:3">
      <c r="A317" t="s">
        <v>584</v>
      </c>
      <c r="B317">
        <v>149.5</v>
      </c>
      <c r="C317" t="s">
        <v>346</v>
      </c>
    </row>
    <row r="318" spans="1:3">
      <c r="A318" t="s">
        <v>584</v>
      </c>
      <c r="B318">
        <v>65.5</v>
      </c>
      <c r="C318" t="s">
        <v>260</v>
      </c>
    </row>
    <row r="319" spans="1:3">
      <c r="A319" t="s">
        <v>584</v>
      </c>
      <c r="B319">
        <v>124.5</v>
      </c>
      <c r="C319" t="s">
        <v>80</v>
      </c>
    </row>
    <row r="320" spans="1:3">
      <c r="A320" t="s">
        <v>587</v>
      </c>
      <c r="B320">
        <v>114</v>
      </c>
      <c r="C320" t="s">
        <v>349</v>
      </c>
    </row>
    <row r="321" spans="1:3">
      <c r="A321" t="s">
        <v>584</v>
      </c>
      <c r="B321">
        <v>49</v>
      </c>
      <c r="C321" t="s">
        <v>350</v>
      </c>
    </row>
    <row r="322" spans="1:3">
      <c r="A322" t="s">
        <v>585</v>
      </c>
      <c r="B322">
        <v>84.5</v>
      </c>
      <c r="C322" t="s">
        <v>78</v>
      </c>
    </row>
    <row r="323" spans="1:3">
      <c r="A323" t="s">
        <v>584</v>
      </c>
      <c r="B323">
        <v>71</v>
      </c>
      <c r="C323" t="s">
        <v>351</v>
      </c>
    </row>
    <row r="324" spans="1:3">
      <c r="A324" t="s">
        <v>584</v>
      </c>
      <c r="B324">
        <v>101</v>
      </c>
      <c r="C324" t="s">
        <v>266</v>
      </c>
    </row>
    <row r="325" spans="1:3">
      <c r="A325" t="s">
        <v>584</v>
      </c>
      <c r="B325">
        <v>107</v>
      </c>
      <c r="C325" t="s">
        <v>264</v>
      </c>
    </row>
    <row r="326" spans="1:3">
      <c r="A326" t="s">
        <v>586</v>
      </c>
      <c r="B326">
        <v>112.5</v>
      </c>
      <c r="C326" t="s">
        <v>43</v>
      </c>
    </row>
    <row r="327" spans="1:3">
      <c r="A327" t="s">
        <v>584</v>
      </c>
      <c r="B327">
        <v>181</v>
      </c>
      <c r="C327" t="s">
        <v>353</v>
      </c>
    </row>
    <row r="328" spans="1:3">
      <c r="A328" t="s">
        <v>584</v>
      </c>
      <c r="B328">
        <v>61</v>
      </c>
      <c r="C328" t="s">
        <v>7</v>
      </c>
    </row>
    <row r="329" spans="1:3">
      <c r="A329" t="s">
        <v>588</v>
      </c>
      <c r="B329">
        <v>205</v>
      </c>
      <c r="C329" t="s">
        <v>7</v>
      </c>
    </row>
    <row r="330" spans="1:3">
      <c r="A330" t="s">
        <v>585</v>
      </c>
      <c r="B330">
        <v>103.5</v>
      </c>
      <c r="C330" t="s">
        <v>263</v>
      </c>
    </row>
    <row r="331" spans="1:3">
      <c r="A331" t="s">
        <v>584</v>
      </c>
      <c r="B331">
        <v>63</v>
      </c>
      <c r="C331" t="s">
        <v>323</v>
      </c>
    </row>
    <row r="332" spans="1:3">
      <c r="A332" t="s">
        <v>585</v>
      </c>
      <c r="B332">
        <v>62.5</v>
      </c>
      <c r="C332" t="s">
        <v>265</v>
      </c>
    </row>
    <row r="333" spans="1:3">
      <c r="A333" t="s">
        <v>584</v>
      </c>
      <c r="B333">
        <v>94.5</v>
      </c>
      <c r="C333" t="s">
        <v>354</v>
      </c>
    </row>
    <row r="334" spans="1:3">
      <c r="A334" t="s">
        <v>584</v>
      </c>
      <c r="B334">
        <v>48.5</v>
      </c>
      <c r="C334" t="s">
        <v>357</v>
      </c>
    </row>
    <row r="335" spans="1:3">
      <c r="A335" t="s">
        <v>584</v>
      </c>
      <c r="B335">
        <v>154.5</v>
      </c>
      <c r="C335" t="s">
        <v>358</v>
      </c>
    </row>
    <row r="336" spans="1:3">
      <c r="A336" t="s">
        <v>588</v>
      </c>
      <c r="B336">
        <v>44.5</v>
      </c>
      <c r="C336" t="s">
        <v>80</v>
      </c>
    </row>
    <row r="337" spans="1:3">
      <c r="A337" t="s">
        <v>584</v>
      </c>
      <c r="B337">
        <v>87</v>
      </c>
      <c r="C337" t="s">
        <v>266</v>
      </c>
    </row>
    <row r="338" spans="1:3">
      <c r="A338" t="s">
        <v>587</v>
      </c>
      <c r="B338">
        <v>52.5</v>
      </c>
      <c r="C338" t="s">
        <v>361</v>
      </c>
    </row>
    <row r="339" spans="1:3">
      <c r="A339" t="s">
        <v>585</v>
      </c>
      <c r="B339">
        <v>64.5</v>
      </c>
      <c r="C339" t="s">
        <v>269</v>
      </c>
    </row>
    <row r="340" spans="1:3">
      <c r="A340" t="s">
        <v>587</v>
      </c>
      <c r="B340">
        <v>111.5</v>
      </c>
      <c r="C340" t="s">
        <v>362</v>
      </c>
    </row>
    <row r="341" spans="1:3">
      <c r="A341" t="s">
        <v>584</v>
      </c>
      <c r="B341">
        <v>154.5</v>
      </c>
      <c r="C341" t="s">
        <v>271</v>
      </c>
    </row>
    <row r="342" spans="1:3">
      <c r="A342" t="s">
        <v>587</v>
      </c>
      <c r="B342">
        <v>124</v>
      </c>
      <c r="C342" t="s">
        <v>80</v>
      </c>
    </row>
    <row r="343" spans="1:3">
      <c r="A343" t="s">
        <v>588</v>
      </c>
      <c r="B343">
        <v>128.5</v>
      </c>
      <c r="C343" t="s">
        <v>365</v>
      </c>
    </row>
    <row r="344" spans="1:3">
      <c r="A344" t="s">
        <v>584</v>
      </c>
      <c r="B344">
        <v>65</v>
      </c>
      <c r="C344" t="s">
        <v>367</v>
      </c>
    </row>
    <row r="345" spans="1:3">
      <c r="A345" t="s">
        <v>584</v>
      </c>
      <c r="B345">
        <v>64</v>
      </c>
      <c r="C345" t="s">
        <v>274</v>
      </c>
    </row>
    <row r="346" spans="1:3">
      <c r="A346" t="s">
        <v>585</v>
      </c>
      <c r="B346">
        <v>98</v>
      </c>
      <c r="C346" t="s">
        <v>78</v>
      </c>
    </row>
    <row r="347" spans="1:3">
      <c r="A347" t="s">
        <v>588</v>
      </c>
      <c r="B347">
        <v>142.5</v>
      </c>
      <c r="C347" t="s">
        <v>368</v>
      </c>
    </row>
    <row r="348" spans="1:3">
      <c r="A348" t="s">
        <v>584</v>
      </c>
      <c r="B348">
        <v>137</v>
      </c>
      <c r="C348" t="s">
        <v>275</v>
      </c>
    </row>
    <row r="349" spans="1:3">
      <c r="A349" t="s">
        <v>588</v>
      </c>
      <c r="B349">
        <v>99</v>
      </c>
      <c r="C349" t="s">
        <v>277</v>
      </c>
    </row>
    <row r="350" spans="1:3">
      <c r="A350" t="s">
        <v>585</v>
      </c>
      <c r="B350">
        <v>54</v>
      </c>
      <c r="C350" t="s">
        <v>83</v>
      </c>
    </row>
    <row r="351" spans="1:3">
      <c r="A351" t="s">
        <v>588</v>
      </c>
      <c r="B351">
        <v>139.5</v>
      </c>
      <c r="C351" t="s">
        <v>370</v>
      </c>
    </row>
    <row r="352" spans="1:3">
      <c r="A352" t="s">
        <v>585</v>
      </c>
      <c r="B352">
        <v>109</v>
      </c>
      <c r="C352" t="s">
        <v>80</v>
      </c>
    </row>
    <row r="353" spans="1:3">
      <c r="A353" t="s">
        <v>585</v>
      </c>
      <c r="B353">
        <v>254</v>
      </c>
      <c r="C353" t="s">
        <v>282</v>
      </c>
    </row>
    <row r="354" spans="1:3">
      <c r="A354" t="s">
        <v>587</v>
      </c>
      <c r="B354">
        <v>73</v>
      </c>
      <c r="C354" t="s">
        <v>78</v>
      </c>
    </row>
    <row r="355" spans="1:3">
      <c r="A355" t="s">
        <v>587</v>
      </c>
      <c r="B355">
        <v>81</v>
      </c>
      <c r="C355" t="s">
        <v>80</v>
      </c>
    </row>
    <row r="356" spans="1:3">
      <c r="A356" t="s">
        <v>584</v>
      </c>
      <c r="B356">
        <v>56.5</v>
      </c>
      <c r="C356" t="s">
        <v>372</v>
      </c>
    </row>
    <row r="357" spans="1:3">
      <c r="A357" t="s">
        <v>585</v>
      </c>
      <c r="B357">
        <v>99.5</v>
      </c>
      <c r="C357" t="s">
        <v>373</v>
      </c>
    </row>
    <row r="358" spans="1:3">
      <c r="A358" t="s">
        <v>585</v>
      </c>
      <c r="B358">
        <v>45.5</v>
      </c>
      <c r="C358" t="s">
        <v>283</v>
      </c>
    </row>
    <row r="359" spans="1:3">
      <c r="A359" t="s">
        <v>586</v>
      </c>
      <c r="B359">
        <v>122.5</v>
      </c>
      <c r="C359" t="s">
        <v>280</v>
      </c>
    </row>
    <row r="360" spans="1:3">
      <c r="A360" t="s">
        <v>584</v>
      </c>
      <c r="B360">
        <v>140</v>
      </c>
      <c r="C360" t="s">
        <v>374</v>
      </c>
    </row>
    <row r="361" spans="1:3">
      <c r="A361" t="s">
        <v>585</v>
      </c>
      <c r="B361">
        <v>77.5</v>
      </c>
      <c r="C361" t="s">
        <v>375</v>
      </c>
    </row>
    <row r="362" spans="1:3">
      <c r="A362" t="s">
        <v>585</v>
      </c>
      <c r="B362">
        <v>55</v>
      </c>
      <c r="C362" t="s">
        <v>284</v>
      </c>
    </row>
    <row r="363" spans="1:3">
      <c r="A363" t="s">
        <v>585</v>
      </c>
      <c r="B363">
        <v>117.5</v>
      </c>
      <c r="C363" t="s">
        <v>377</v>
      </c>
    </row>
    <row r="364" spans="1:3">
      <c r="A364" t="s">
        <v>587</v>
      </c>
      <c r="B364">
        <v>70.5</v>
      </c>
      <c r="C364" t="s">
        <v>378</v>
      </c>
    </row>
    <row r="365" spans="1:3">
      <c r="A365" t="s">
        <v>586</v>
      </c>
      <c r="B365">
        <v>61.5</v>
      </c>
      <c r="C365" t="s">
        <v>380</v>
      </c>
    </row>
    <row r="366" spans="1:3">
      <c r="A366" t="s">
        <v>587</v>
      </c>
      <c r="B366">
        <v>70</v>
      </c>
      <c r="C366" t="s">
        <v>382</v>
      </c>
    </row>
    <row r="367" spans="1:3">
      <c r="A367" t="s">
        <v>587</v>
      </c>
      <c r="B367">
        <v>80</v>
      </c>
      <c r="C367" t="s">
        <v>383</v>
      </c>
    </row>
    <row r="368" spans="1:3">
      <c r="A368" t="s">
        <v>585</v>
      </c>
      <c r="B368">
        <v>90</v>
      </c>
      <c r="C368" t="s">
        <v>384</v>
      </c>
    </row>
    <row r="369" spans="1:3">
      <c r="A369" t="s">
        <v>587</v>
      </c>
      <c r="B369">
        <v>73.5</v>
      </c>
      <c r="C369" t="s">
        <v>385</v>
      </c>
    </row>
    <row r="370" spans="1:3">
      <c r="A370" t="s">
        <v>584</v>
      </c>
      <c r="B370">
        <v>91</v>
      </c>
      <c r="C370" t="s">
        <v>387</v>
      </c>
    </row>
    <row r="371" spans="1:3">
      <c r="A371" t="s">
        <v>586</v>
      </c>
      <c r="B371">
        <v>155</v>
      </c>
      <c r="C371" t="s">
        <v>389</v>
      </c>
    </row>
    <row r="372" spans="1:3">
      <c r="A372" t="s">
        <v>584</v>
      </c>
      <c r="B372">
        <v>129.5</v>
      </c>
      <c r="C372" t="s">
        <v>391</v>
      </c>
    </row>
    <row r="373" spans="1:3">
      <c r="A373" t="s">
        <v>588</v>
      </c>
      <c r="B373">
        <v>167.5</v>
      </c>
      <c r="C373" t="s">
        <v>392</v>
      </c>
    </row>
    <row r="374" spans="1:3">
      <c r="A374" t="s">
        <v>584</v>
      </c>
      <c r="B374">
        <v>60</v>
      </c>
      <c r="C374" t="s">
        <v>7</v>
      </c>
    </row>
    <row r="375" spans="1:3">
      <c r="A375" t="s">
        <v>584</v>
      </c>
      <c r="B375">
        <v>180</v>
      </c>
      <c r="C375" t="s">
        <v>7</v>
      </c>
    </row>
    <row r="376" spans="1:3">
      <c r="A376" t="s">
        <v>584</v>
      </c>
      <c r="B376">
        <v>65</v>
      </c>
      <c r="C376" t="s">
        <v>393</v>
      </c>
    </row>
    <row r="377" spans="1:3">
      <c r="A377" t="s">
        <v>588</v>
      </c>
      <c r="B377">
        <v>112.5</v>
      </c>
      <c r="C377" t="s">
        <v>394</v>
      </c>
    </row>
    <row r="378" spans="1:3">
      <c r="A378" t="s">
        <v>587</v>
      </c>
      <c r="B378">
        <v>87.5</v>
      </c>
      <c r="C378" t="s">
        <v>395</v>
      </c>
    </row>
    <row r="379" spans="1:3">
      <c r="A379" t="s">
        <v>585</v>
      </c>
      <c r="B379">
        <v>51.5</v>
      </c>
      <c r="C379" t="s">
        <v>90</v>
      </c>
    </row>
    <row r="380" spans="1:3">
      <c r="A380" t="s">
        <v>586</v>
      </c>
      <c r="B380">
        <v>51</v>
      </c>
      <c r="C380" t="s">
        <v>397</v>
      </c>
    </row>
    <row r="381" spans="1:3">
      <c r="A381" t="s">
        <v>585</v>
      </c>
      <c r="B381">
        <v>62.5</v>
      </c>
      <c r="C381" t="s">
        <v>180</v>
      </c>
    </row>
    <row r="382" spans="1:3">
      <c r="A382" t="s">
        <v>585</v>
      </c>
      <c r="B382">
        <v>100</v>
      </c>
      <c r="C382" t="s">
        <v>169</v>
      </c>
    </row>
    <row r="383" spans="1:3">
      <c r="A383" t="s">
        <v>588</v>
      </c>
      <c r="B383">
        <v>85</v>
      </c>
      <c r="C383" t="s">
        <v>399</v>
      </c>
    </row>
    <row r="384" spans="1:3">
      <c r="A384" t="s">
        <v>584</v>
      </c>
      <c r="B384">
        <v>122</v>
      </c>
      <c r="C384" t="s">
        <v>400</v>
      </c>
    </row>
    <row r="385" spans="1:3">
      <c r="A385" t="s">
        <v>584</v>
      </c>
      <c r="B385">
        <v>66.5</v>
      </c>
      <c r="C385" t="s">
        <v>402</v>
      </c>
    </row>
    <row r="386" spans="1:3">
      <c r="A386" t="s">
        <v>586</v>
      </c>
      <c r="B386">
        <v>70.5</v>
      </c>
      <c r="C386" t="s">
        <v>403</v>
      </c>
    </row>
    <row r="387" spans="1:3">
      <c r="A387" t="s">
        <v>586</v>
      </c>
      <c r="B387">
        <v>138.5</v>
      </c>
      <c r="C387" t="s">
        <v>80</v>
      </c>
    </row>
    <row r="388" spans="1:3">
      <c r="A388" t="s">
        <v>585</v>
      </c>
      <c r="B388">
        <v>107.5</v>
      </c>
      <c r="C388" t="s">
        <v>406</v>
      </c>
    </row>
    <row r="389" spans="1:3">
      <c r="A389" t="s">
        <v>584</v>
      </c>
      <c r="B389">
        <v>120.5</v>
      </c>
      <c r="C389" t="s">
        <v>408</v>
      </c>
    </row>
    <row r="390" spans="1:3">
      <c r="A390" t="s">
        <v>587</v>
      </c>
      <c r="B390">
        <v>81</v>
      </c>
      <c r="C390" t="s">
        <v>409</v>
      </c>
    </row>
    <row r="391" spans="1:3">
      <c r="A391" t="s">
        <v>585</v>
      </c>
      <c r="B391">
        <v>103.5</v>
      </c>
      <c r="C391" t="s">
        <v>180</v>
      </c>
    </row>
    <row r="392" spans="1:3">
      <c r="A392" t="s">
        <v>585</v>
      </c>
      <c r="B392">
        <v>107.5</v>
      </c>
      <c r="C392" t="s">
        <v>411</v>
      </c>
    </row>
    <row r="393" spans="1:3">
      <c r="A393" t="s">
        <v>588</v>
      </c>
      <c r="B393">
        <v>162</v>
      </c>
      <c r="C393" t="s">
        <v>412</v>
      </c>
    </row>
    <row r="394" spans="1:3">
      <c r="A394" t="s">
        <v>584</v>
      </c>
      <c r="B394">
        <v>68.5</v>
      </c>
      <c r="C394" t="s">
        <v>413</v>
      </c>
    </row>
    <row r="395" spans="1:3">
      <c r="A395" t="s">
        <v>585</v>
      </c>
      <c r="B395">
        <v>110.5</v>
      </c>
      <c r="C395" t="s">
        <v>414</v>
      </c>
    </row>
    <row r="396" spans="1:3">
      <c r="A396" t="s">
        <v>584</v>
      </c>
      <c r="B396">
        <v>81</v>
      </c>
      <c r="C396" t="s">
        <v>284</v>
      </c>
    </row>
    <row r="397" spans="1:3">
      <c r="A397" t="s">
        <v>588</v>
      </c>
      <c r="B397">
        <v>130</v>
      </c>
      <c r="C397" t="s">
        <v>415</v>
      </c>
    </row>
    <row r="398" spans="1:3">
      <c r="A398" t="s">
        <v>584</v>
      </c>
      <c r="B398">
        <v>115.5</v>
      </c>
      <c r="C398" t="s">
        <v>416</v>
      </c>
    </row>
    <row r="399" spans="1:3">
      <c r="A399" t="s">
        <v>584</v>
      </c>
      <c r="B399">
        <v>80.5</v>
      </c>
      <c r="C399" t="s">
        <v>417</v>
      </c>
    </row>
    <row r="400" spans="1:3">
      <c r="A400" t="s">
        <v>586</v>
      </c>
      <c r="B400">
        <v>43</v>
      </c>
      <c r="C400" t="s">
        <v>97</v>
      </c>
    </row>
    <row r="401" spans="1:3">
      <c r="A401" t="s">
        <v>588</v>
      </c>
      <c r="B401">
        <v>140</v>
      </c>
      <c r="C401" t="s">
        <v>78</v>
      </c>
    </row>
    <row r="402" spans="1:3">
      <c r="A402" t="s">
        <v>585</v>
      </c>
      <c r="B402">
        <v>66.5</v>
      </c>
      <c r="C402" t="s">
        <v>419</v>
      </c>
    </row>
    <row r="403" spans="1:3">
      <c r="A403" t="s">
        <v>586</v>
      </c>
      <c r="B403">
        <v>94.5</v>
      </c>
      <c r="C403" t="s">
        <v>421</v>
      </c>
    </row>
    <row r="404" spans="1:3">
      <c r="A404" t="s">
        <v>584</v>
      </c>
      <c r="B404">
        <v>119</v>
      </c>
      <c r="C404" t="s">
        <v>422</v>
      </c>
    </row>
    <row r="405" spans="1:3">
      <c r="A405" t="s">
        <v>585</v>
      </c>
      <c r="B405">
        <v>51.5</v>
      </c>
      <c r="C405" t="s">
        <v>424</v>
      </c>
    </row>
    <row r="406" spans="1:3">
      <c r="A406" t="s">
        <v>587</v>
      </c>
      <c r="B406">
        <v>27.5</v>
      </c>
      <c r="C406" t="s">
        <v>425</v>
      </c>
    </row>
    <row r="407" spans="1:3">
      <c r="A407" t="s">
        <v>585</v>
      </c>
      <c r="B407">
        <v>194.5</v>
      </c>
      <c r="C407" t="s">
        <v>426</v>
      </c>
    </row>
    <row r="408" spans="1:3">
      <c r="A408" t="s">
        <v>584</v>
      </c>
      <c r="B408">
        <v>71.5</v>
      </c>
      <c r="C408" t="s">
        <v>427</v>
      </c>
    </row>
    <row r="409" spans="1:3">
      <c r="A409" t="s">
        <v>584</v>
      </c>
      <c r="B409">
        <v>105.5</v>
      </c>
      <c r="C409" t="s">
        <v>428</v>
      </c>
    </row>
    <row r="410" spans="1:3">
      <c r="A410" t="s">
        <v>585</v>
      </c>
      <c r="B410">
        <v>74</v>
      </c>
      <c r="C410" t="s">
        <v>429</v>
      </c>
    </row>
    <row r="411" spans="1:3">
      <c r="A411" t="s">
        <v>584</v>
      </c>
      <c r="B411">
        <v>62.5</v>
      </c>
      <c r="C411" t="s">
        <v>430</v>
      </c>
    </row>
    <row r="412" spans="1:3">
      <c r="A412" t="s">
        <v>588</v>
      </c>
      <c r="B412">
        <v>65.5</v>
      </c>
      <c r="C412" t="s">
        <v>431</v>
      </c>
    </row>
    <row r="413" spans="1:3">
      <c r="A413" t="s">
        <v>584</v>
      </c>
      <c r="B413">
        <v>161.5</v>
      </c>
      <c r="C413" t="s">
        <v>432</v>
      </c>
    </row>
    <row r="414" spans="1:3">
      <c r="A414" t="s">
        <v>587</v>
      </c>
      <c r="B414">
        <v>72.5</v>
      </c>
      <c r="C414" t="s">
        <v>433</v>
      </c>
    </row>
    <row r="415" spans="1:3">
      <c r="A415" t="s">
        <v>584</v>
      </c>
      <c r="B415">
        <v>139</v>
      </c>
      <c r="C415" t="s">
        <v>434</v>
      </c>
    </row>
    <row r="416" spans="1:3">
      <c r="A416" t="s">
        <v>584</v>
      </c>
      <c r="B416">
        <v>136.5</v>
      </c>
      <c r="C416" t="s">
        <v>435</v>
      </c>
    </row>
    <row r="417" spans="1:3">
      <c r="A417" t="s">
        <v>584</v>
      </c>
      <c r="B417">
        <v>74.5</v>
      </c>
      <c r="C417" t="s">
        <v>436</v>
      </c>
    </row>
    <row r="418" spans="1:3">
      <c r="A418" t="s">
        <v>585</v>
      </c>
      <c r="B418">
        <v>80.5</v>
      </c>
      <c r="C418" t="s">
        <v>437</v>
      </c>
    </row>
    <row r="419" spans="1:3">
      <c r="A419" t="s">
        <v>584</v>
      </c>
      <c r="B419">
        <v>75.5</v>
      </c>
      <c r="C419" t="s">
        <v>439</v>
      </c>
    </row>
    <row r="420" spans="1:3">
      <c r="A420" t="s">
        <v>586</v>
      </c>
      <c r="B420">
        <v>143.5</v>
      </c>
      <c r="C420" t="s">
        <v>180</v>
      </c>
    </row>
    <row r="421" spans="1:3">
      <c r="A421" t="s">
        <v>586</v>
      </c>
      <c r="B421">
        <v>101</v>
      </c>
      <c r="C421" t="s">
        <v>180</v>
      </c>
    </row>
    <row r="422" spans="1:3">
      <c r="A422" t="s">
        <v>584</v>
      </c>
      <c r="B422">
        <v>92</v>
      </c>
      <c r="C422" t="s">
        <v>441</v>
      </c>
    </row>
    <row r="423" spans="1:3">
      <c r="A423" t="s">
        <v>584</v>
      </c>
      <c r="B423">
        <v>76.5</v>
      </c>
      <c r="C423" t="s">
        <v>442</v>
      </c>
    </row>
    <row r="424" spans="1:3">
      <c r="A424" t="s">
        <v>586</v>
      </c>
      <c r="B424">
        <v>140.5</v>
      </c>
      <c r="C424" t="s">
        <v>7</v>
      </c>
    </row>
    <row r="425" spans="1:3">
      <c r="A425" t="s">
        <v>584</v>
      </c>
      <c r="B425">
        <v>116.5</v>
      </c>
      <c r="C425" t="s">
        <v>7</v>
      </c>
    </row>
    <row r="426" spans="1:3">
      <c r="A426" t="s">
        <v>586</v>
      </c>
      <c r="B426">
        <v>232.5</v>
      </c>
      <c r="C426" t="s">
        <v>7</v>
      </c>
    </row>
    <row r="427" spans="1:3">
      <c r="A427" t="s">
        <v>584</v>
      </c>
      <c r="B427">
        <v>120.5</v>
      </c>
      <c r="C427" t="s">
        <v>80</v>
      </c>
    </row>
    <row r="428" spans="1:3">
      <c r="A428" t="s">
        <v>584</v>
      </c>
      <c r="B428">
        <v>82</v>
      </c>
      <c r="C428" t="s">
        <v>344</v>
      </c>
    </row>
    <row r="429" spans="1:3">
      <c r="A429" t="s">
        <v>585</v>
      </c>
      <c r="B429">
        <v>84.5</v>
      </c>
      <c r="C429" t="s">
        <v>257</v>
      </c>
    </row>
    <row r="430" spans="1:3">
      <c r="A430" t="s">
        <v>587</v>
      </c>
      <c r="B430">
        <v>153</v>
      </c>
      <c r="C430" t="s">
        <v>7</v>
      </c>
    </row>
    <row r="431" spans="1:3">
      <c r="A431" t="s">
        <v>585</v>
      </c>
      <c r="B431">
        <v>127</v>
      </c>
      <c r="C431" t="s">
        <v>445</v>
      </c>
    </row>
    <row r="432" spans="1:3">
      <c r="A432" t="s">
        <v>586</v>
      </c>
      <c r="B432">
        <v>85.5</v>
      </c>
      <c r="C432" t="s">
        <v>7</v>
      </c>
    </row>
    <row r="433" spans="1:3">
      <c r="A433" t="s">
        <v>587</v>
      </c>
      <c r="B433">
        <v>76.5</v>
      </c>
      <c r="C433" t="s">
        <v>345</v>
      </c>
    </row>
    <row r="434" spans="1:3">
      <c r="A434" t="s">
        <v>584</v>
      </c>
      <c r="B434">
        <v>128</v>
      </c>
      <c r="C434" t="s">
        <v>259</v>
      </c>
    </row>
    <row r="435" spans="1:3">
      <c r="A435" t="s">
        <v>585</v>
      </c>
      <c r="B435">
        <v>91.5</v>
      </c>
      <c r="C435" t="s">
        <v>7</v>
      </c>
    </row>
    <row r="436" spans="1:3">
      <c r="A436" t="s">
        <v>588</v>
      </c>
      <c r="B436">
        <v>134.5</v>
      </c>
      <c r="C436" t="s">
        <v>7</v>
      </c>
    </row>
    <row r="437" spans="1:3">
      <c r="A437" t="s">
        <v>585</v>
      </c>
      <c r="B437">
        <v>164.5</v>
      </c>
      <c r="C437" t="s">
        <v>7</v>
      </c>
    </row>
    <row r="438" spans="1:3">
      <c r="A438" t="s">
        <v>588</v>
      </c>
      <c r="B438">
        <v>93.5</v>
      </c>
      <c r="C438" t="s">
        <v>7</v>
      </c>
    </row>
    <row r="439" spans="1:3">
      <c r="A439" t="s">
        <v>585</v>
      </c>
      <c r="B439">
        <v>44</v>
      </c>
      <c r="C439" t="s">
        <v>7</v>
      </c>
    </row>
    <row r="440" spans="1:3">
      <c r="A440" t="s">
        <v>584</v>
      </c>
      <c r="B440">
        <v>149.5</v>
      </c>
      <c r="C440" t="s">
        <v>80</v>
      </c>
    </row>
    <row r="441" spans="1:3">
      <c r="A441" t="s">
        <v>584</v>
      </c>
      <c r="B441">
        <v>65.5</v>
      </c>
      <c r="C441" t="s">
        <v>262</v>
      </c>
    </row>
    <row r="442" spans="1:3">
      <c r="A442" t="s">
        <v>588</v>
      </c>
      <c r="B442">
        <v>109</v>
      </c>
      <c r="C442" t="s">
        <v>7</v>
      </c>
    </row>
    <row r="443" spans="1:3">
      <c r="A443" t="s">
        <v>584</v>
      </c>
      <c r="B443">
        <v>177</v>
      </c>
      <c r="C443" t="s">
        <v>260</v>
      </c>
    </row>
    <row r="444" spans="1:3">
      <c r="A444" t="s">
        <v>586</v>
      </c>
      <c r="B444">
        <v>107</v>
      </c>
      <c r="C444" t="s">
        <v>346</v>
      </c>
    </row>
    <row r="445" spans="1:3">
      <c r="A445" t="s">
        <v>588</v>
      </c>
      <c r="B445">
        <v>154.5</v>
      </c>
      <c r="C445" t="s">
        <v>349</v>
      </c>
    </row>
    <row r="446" spans="1:3">
      <c r="A446" t="s">
        <v>588</v>
      </c>
      <c r="B446">
        <v>113.5</v>
      </c>
      <c r="C446" t="s">
        <v>350</v>
      </c>
    </row>
    <row r="447" spans="1:3">
      <c r="A447" t="s">
        <v>584</v>
      </c>
      <c r="B447">
        <v>124.5</v>
      </c>
      <c r="C447" t="s">
        <v>80</v>
      </c>
    </row>
    <row r="448" spans="1:3">
      <c r="A448" t="s">
        <v>587</v>
      </c>
      <c r="B448">
        <v>143.5</v>
      </c>
      <c r="C448" t="s">
        <v>349</v>
      </c>
    </row>
    <row r="449" spans="1:3">
      <c r="A449" t="s">
        <v>584</v>
      </c>
      <c r="B449">
        <v>113.5</v>
      </c>
      <c r="C449" t="s">
        <v>7</v>
      </c>
    </row>
    <row r="450" spans="1:3">
      <c r="A450" t="s">
        <v>585</v>
      </c>
      <c r="B450">
        <v>101.5</v>
      </c>
      <c r="C450" t="s">
        <v>7</v>
      </c>
    </row>
    <row r="451" spans="1:3">
      <c r="A451" t="s">
        <v>584</v>
      </c>
      <c r="B451">
        <v>73</v>
      </c>
      <c r="C451" t="s">
        <v>7</v>
      </c>
    </row>
    <row r="452" spans="1:3">
      <c r="A452" t="s">
        <v>584</v>
      </c>
      <c r="B452">
        <v>80.5</v>
      </c>
      <c r="C452" t="s">
        <v>78</v>
      </c>
    </row>
    <row r="453" spans="1:3">
      <c r="A453" t="s">
        <v>587</v>
      </c>
      <c r="B453">
        <v>114</v>
      </c>
      <c r="C453" t="s">
        <v>7</v>
      </c>
    </row>
    <row r="454" spans="1:3">
      <c r="A454" t="s">
        <v>584</v>
      </c>
      <c r="B454">
        <v>139.5</v>
      </c>
      <c r="C454" t="s">
        <v>7</v>
      </c>
    </row>
    <row r="455" spans="1:3">
      <c r="A455" t="s">
        <v>586</v>
      </c>
      <c r="B455">
        <v>145.5</v>
      </c>
      <c r="C455" t="s">
        <v>7</v>
      </c>
    </row>
    <row r="456" spans="1:3">
      <c r="A456" t="s">
        <v>588</v>
      </c>
      <c r="B456">
        <v>87</v>
      </c>
      <c r="C456" t="s">
        <v>452</v>
      </c>
    </row>
    <row r="457" spans="1:3">
      <c r="A457" t="s">
        <v>588</v>
      </c>
      <c r="B457">
        <v>100.5</v>
      </c>
      <c r="C457" t="s">
        <v>7</v>
      </c>
    </row>
    <row r="458" spans="1:3">
      <c r="A458" t="s">
        <v>584</v>
      </c>
      <c r="B458">
        <v>147</v>
      </c>
      <c r="C458" t="s">
        <v>7</v>
      </c>
    </row>
    <row r="459" spans="1:3">
      <c r="A459" t="s">
        <v>584</v>
      </c>
      <c r="B459">
        <v>110.5</v>
      </c>
      <c r="C459" t="s">
        <v>351</v>
      </c>
    </row>
    <row r="460" spans="1:3">
      <c r="A460" t="s">
        <v>584</v>
      </c>
      <c r="B460">
        <v>49</v>
      </c>
      <c r="C460" t="s">
        <v>7</v>
      </c>
    </row>
    <row r="461" spans="1:3">
      <c r="A461" t="s">
        <v>586</v>
      </c>
      <c r="B461">
        <v>94</v>
      </c>
      <c r="C461" t="s">
        <v>7</v>
      </c>
    </row>
    <row r="462" spans="1:3">
      <c r="A462" t="s">
        <v>588</v>
      </c>
      <c r="B462">
        <v>123.5</v>
      </c>
      <c r="C462" t="s">
        <v>7</v>
      </c>
    </row>
    <row r="463" spans="1:3">
      <c r="A463" t="s">
        <v>585</v>
      </c>
      <c r="B463">
        <v>84.5</v>
      </c>
      <c r="C463" t="s">
        <v>7</v>
      </c>
    </row>
    <row r="464" spans="1:3">
      <c r="A464" t="s">
        <v>584</v>
      </c>
      <c r="B464">
        <v>71</v>
      </c>
      <c r="C464" t="s">
        <v>456</v>
      </c>
    </row>
    <row r="465" spans="1:3">
      <c r="A465" t="s">
        <v>588</v>
      </c>
      <c r="B465">
        <v>73</v>
      </c>
      <c r="C465" t="s">
        <v>80</v>
      </c>
    </row>
    <row r="466" spans="1:3">
      <c r="A466" t="s">
        <v>584</v>
      </c>
      <c r="B466">
        <v>101</v>
      </c>
      <c r="C466" t="s">
        <v>266</v>
      </c>
    </row>
    <row r="467" spans="1:3">
      <c r="A467" t="s">
        <v>584</v>
      </c>
      <c r="B467">
        <v>181</v>
      </c>
      <c r="C467" t="s">
        <v>7</v>
      </c>
    </row>
    <row r="468" spans="1:3">
      <c r="A468" t="s">
        <v>584</v>
      </c>
      <c r="B468">
        <v>109.5</v>
      </c>
      <c r="C468" t="s">
        <v>78</v>
      </c>
    </row>
    <row r="469" spans="1:3">
      <c r="A469" t="s">
        <v>584</v>
      </c>
      <c r="B469">
        <v>184.5</v>
      </c>
      <c r="C469" t="s">
        <v>264</v>
      </c>
    </row>
    <row r="470" spans="1:3">
      <c r="A470" t="s">
        <v>584</v>
      </c>
      <c r="B470">
        <v>165</v>
      </c>
      <c r="C470" t="s">
        <v>43</v>
      </c>
    </row>
    <row r="471" spans="1:3">
      <c r="A471" t="s">
        <v>584</v>
      </c>
      <c r="B471">
        <v>61</v>
      </c>
      <c r="C471" t="s">
        <v>457</v>
      </c>
    </row>
    <row r="472" spans="1:3">
      <c r="A472" t="s">
        <v>588</v>
      </c>
      <c r="B472">
        <v>205</v>
      </c>
      <c r="C472" t="s">
        <v>353</v>
      </c>
    </row>
    <row r="473" spans="1:3">
      <c r="A473" t="s">
        <v>585</v>
      </c>
      <c r="B473">
        <v>59.5</v>
      </c>
      <c r="C473" t="s">
        <v>263</v>
      </c>
    </row>
    <row r="474" spans="1:3">
      <c r="A474" t="s">
        <v>585</v>
      </c>
      <c r="B474">
        <v>103.5</v>
      </c>
      <c r="C474" t="s">
        <v>7</v>
      </c>
    </row>
    <row r="475" spans="1:3">
      <c r="A475" t="s">
        <v>585</v>
      </c>
      <c r="B475">
        <v>62.5</v>
      </c>
      <c r="C475" t="s">
        <v>90</v>
      </c>
    </row>
    <row r="476" spans="1:3">
      <c r="A476" t="s">
        <v>584</v>
      </c>
      <c r="B476">
        <v>63</v>
      </c>
      <c r="C476" t="s">
        <v>459</v>
      </c>
    </row>
    <row r="477" spans="1:3">
      <c r="A477" t="s">
        <v>584</v>
      </c>
      <c r="B477">
        <v>66</v>
      </c>
      <c r="C477" t="s">
        <v>323</v>
      </c>
    </row>
    <row r="478" spans="1:3">
      <c r="A478" t="s">
        <v>584</v>
      </c>
      <c r="B478">
        <v>94.5</v>
      </c>
      <c r="C478" t="s">
        <v>265</v>
      </c>
    </row>
    <row r="479" spans="1:3">
      <c r="A479" t="s">
        <v>588</v>
      </c>
      <c r="B479">
        <v>75.5</v>
      </c>
      <c r="C479" t="s">
        <v>43</v>
      </c>
    </row>
    <row r="480" spans="1:3">
      <c r="A480" t="s">
        <v>588</v>
      </c>
      <c r="B480">
        <v>87</v>
      </c>
      <c r="C480" t="s">
        <v>354</v>
      </c>
    </row>
    <row r="481" spans="1:3">
      <c r="A481" t="s">
        <v>584</v>
      </c>
      <c r="B481">
        <v>140</v>
      </c>
      <c r="C481" t="s">
        <v>358</v>
      </c>
    </row>
    <row r="482" spans="1:3">
      <c r="A482" t="s">
        <v>584</v>
      </c>
      <c r="B482">
        <v>86</v>
      </c>
      <c r="C482" t="s">
        <v>357</v>
      </c>
    </row>
    <row r="483" spans="1:3">
      <c r="A483" t="s">
        <v>588</v>
      </c>
      <c r="B483">
        <v>116.5</v>
      </c>
      <c r="C483" t="s">
        <v>43</v>
      </c>
    </row>
    <row r="484" spans="1:3">
      <c r="A484" t="s">
        <v>584</v>
      </c>
      <c r="B484">
        <v>154.5</v>
      </c>
      <c r="C484" t="s">
        <v>80</v>
      </c>
    </row>
    <row r="485" spans="1:3">
      <c r="A485" t="s">
        <v>584</v>
      </c>
      <c r="B485">
        <v>87</v>
      </c>
      <c r="C485" t="s">
        <v>7</v>
      </c>
    </row>
    <row r="486" spans="1:3">
      <c r="A486" t="s">
        <v>584</v>
      </c>
      <c r="B486">
        <v>48.5</v>
      </c>
      <c r="C486" t="s">
        <v>196</v>
      </c>
    </row>
    <row r="487" spans="1:3">
      <c r="A487" t="s">
        <v>585</v>
      </c>
      <c r="B487">
        <v>80</v>
      </c>
      <c r="C487" t="s">
        <v>460</v>
      </c>
    </row>
    <row r="488" spans="1:3">
      <c r="A488" t="s">
        <v>588</v>
      </c>
      <c r="B488">
        <v>44.5</v>
      </c>
      <c r="C488" t="s">
        <v>7</v>
      </c>
    </row>
    <row r="489" spans="1:3">
      <c r="A489" t="s">
        <v>587</v>
      </c>
      <c r="B489">
        <v>52.5</v>
      </c>
      <c r="C489" t="s">
        <v>78</v>
      </c>
    </row>
    <row r="490" spans="1:3">
      <c r="A490" t="s">
        <v>584</v>
      </c>
      <c r="B490">
        <v>173</v>
      </c>
      <c r="C490" t="s">
        <v>361</v>
      </c>
    </row>
    <row r="491" spans="1:3">
      <c r="A491" t="s">
        <v>584</v>
      </c>
      <c r="B491">
        <v>68.5</v>
      </c>
      <c r="C491" t="s">
        <v>362</v>
      </c>
    </row>
    <row r="492" spans="1:3">
      <c r="A492" t="s">
        <v>588</v>
      </c>
      <c r="B492">
        <v>172</v>
      </c>
      <c r="C492" t="s">
        <v>266</v>
      </c>
    </row>
    <row r="493" spans="1:3">
      <c r="A493" t="s">
        <v>585</v>
      </c>
      <c r="B493">
        <v>114.5</v>
      </c>
      <c r="C493" t="s">
        <v>80</v>
      </c>
    </row>
    <row r="494" spans="1:3">
      <c r="A494" t="s">
        <v>584</v>
      </c>
      <c r="B494">
        <v>95</v>
      </c>
      <c r="C494" t="s">
        <v>269</v>
      </c>
    </row>
    <row r="495" spans="1:3">
      <c r="A495" t="s">
        <v>585</v>
      </c>
      <c r="B495">
        <v>69.5</v>
      </c>
      <c r="C495" t="s">
        <v>271</v>
      </c>
    </row>
    <row r="496" spans="1:3">
      <c r="A496" t="s">
        <v>585</v>
      </c>
      <c r="B496">
        <v>64.5</v>
      </c>
      <c r="C496" t="s">
        <v>463</v>
      </c>
    </row>
    <row r="497" spans="1:3">
      <c r="A497" t="s">
        <v>587</v>
      </c>
      <c r="B497">
        <v>111.5</v>
      </c>
      <c r="C497" t="s">
        <v>80</v>
      </c>
    </row>
    <row r="498" spans="1:3">
      <c r="A498" t="s">
        <v>588</v>
      </c>
      <c r="B498">
        <v>97.5</v>
      </c>
      <c r="C498" t="s">
        <v>464</v>
      </c>
    </row>
    <row r="499" spans="1:3">
      <c r="A499" t="s">
        <v>584</v>
      </c>
      <c r="B499">
        <v>154.5</v>
      </c>
      <c r="C499" t="s">
        <v>101</v>
      </c>
    </row>
    <row r="500" spans="1:3">
      <c r="A500" t="s">
        <v>587</v>
      </c>
      <c r="B500">
        <v>124</v>
      </c>
      <c r="C500" t="s">
        <v>465</v>
      </c>
    </row>
    <row r="501" spans="1:3">
      <c r="A501" t="s">
        <v>585</v>
      </c>
      <c r="B501">
        <v>95</v>
      </c>
      <c r="C501" t="s">
        <v>466</v>
      </c>
    </row>
    <row r="502" spans="1:3">
      <c r="A502" t="s">
        <v>588</v>
      </c>
      <c r="B502">
        <v>128.5</v>
      </c>
      <c r="C502" t="s">
        <v>80</v>
      </c>
    </row>
    <row r="503" spans="1:3">
      <c r="A503" t="s">
        <v>585</v>
      </c>
      <c r="B503">
        <v>194</v>
      </c>
      <c r="C503" t="s">
        <v>365</v>
      </c>
    </row>
    <row r="504" spans="1:3">
      <c r="A504" t="s">
        <v>584</v>
      </c>
      <c r="B504">
        <v>104.5</v>
      </c>
      <c r="C504" t="s">
        <v>7</v>
      </c>
    </row>
    <row r="505" spans="1:3">
      <c r="A505" t="s">
        <v>584</v>
      </c>
      <c r="B505">
        <v>65</v>
      </c>
      <c r="C505" t="s">
        <v>367</v>
      </c>
    </row>
    <row r="506" spans="1:3">
      <c r="A506" t="s">
        <v>588</v>
      </c>
      <c r="B506">
        <v>85.5</v>
      </c>
      <c r="C506" t="s">
        <v>274</v>
      </c>
    </row>
    <row r="507" spans="1:3">
      <c r="A507" t="s">
        <v>588</v>
      </c>
      <c r="B507">
        <v>50</v>
      </c>
      <c r="C507" t="s">
        <v>7</v>
      </c>
    </row>
    <row r="508" spans="1:3">
      <c r="A508" t="s">
        <v>585</v>
      </c>
      <c r="B508">
        <v>113</v>
      </c>
      <c r="C508" t="s">
        <v>78</v>
      </c>
    </row>
    <row r="509" spans="1:3">
      <c r="A509" t="s">
        <v>584</v>
      </c>
      <c r="B509">
        <v>90.5</v>
      </c>
      <c r="C509" t="s">
        <v>463</v>
      </c>
    </row>
    <row r="510" spans="1:3">
      <c r="A510" t="s">
        <v>588</v>
      </c>
      <c r="B510">
        <v>153</v>
      </c>
      <c r="C510" t="s">
        <v>7</v>
      </c>
    </row>
    <row r="511" spans="1:3">
      <c r="A511" t="s">
        <v>585</v>
      </c>
      <c r="B511">
        <v>123.5</v>
      </c>
      <c r="C511" t="s">
        <v>368</v>
      </c>
    </row>
    <row r="512" spans="1:3">
      <c r="A512" t="s">
        <v>584</v>
      </c>
      <c r="B512">
        <v>47</v>
      </c>
      <c r="C512" t="s">
        <v>468</v>
      </c>
    </row>
    <row r="513" spans="1:3">
      <c r="A513" t="s">
        <v>584</v>
      </c>
      <c r="B513">
        <v>64</v>
      </c>
      <c r="C513" t="s">
        <v>469</v>
      </c>
    </row>
    <row r="514" spans="1:3">
      <c r="A514" t="s">
        <v>588</v>
      </c>
      <c r="B514">
        <v>162</v>
      </c>
      <c r="C514" t="s">
        <v>80</v>
      </c>
    </row>
    <row r="515" spans="1:3">
      <c r="A515" t="s">
        <v>584</v>
      </c>
      <c r="B515">
        <v>137</v>
      </c>
      <c r="C515" t="s">
        <v>471</v>
      </c>
    </row>
    <row r="516" spans="1:3">
      <c r="A516" t="s">
        <v>585</v>
      </c>
      <c r="B516">
        <v>98</v>
      </c>
      <c r="C516" t="s">
        <v>78</v>
      </c>
    </row>
    <row r="517" spans="1:3">
      <c r="A517" t="s">
        <v>584</v>
      </c>
      <c r="B517">
        <v>115</v>
      </c>
      <c r="C517" t="s">
        <v>472</v>
      </c>
    </row>
    <row r="518" spans="1:3">
      <c r="A518" t="s">
        <v>584</v>
      </c>
      <c r="B518">
        <v>133.5</v>
      </c>
      <c r="C518" t="s">
        <v>474</v>
      </c>
    </row>
    <row r="519" spans="1:3">
      <c r="A519" t="s">
        <v>588</v>
      </c>
      <c r="B519">
        <v>99</v>
      </c>
      <c r="C519" t="s">
        <v>275</v>
      </c>
    </row>
    <row r="520" spans="1:3">
      <c r="A520" t="s">
        <v>585</v>
      </c>
      <c r="B520">
        <v>54</v>
      </c>
      <c r="C520" t="s">
        <v>475</v>
      </c>
    </row>
    <row r="521" spans="1:3">
      <c r="A521" t="s">
        <v>585</v>
      </c>
      <c r="B521">
        <v>109</v>
      </c>
      <c r="C521" t="s">
        <v>370</v>
      </c>
    </row>
    <row r="522" spans="1:3">
      <c r="A522" t="s">
        <v>585</v>
      </c>
      <c r="B522">
        <v>109</v>
      </c>
      <c r="C522" t="s">
        <v>277</v>
      </c>
    </row>
    <row r="523" spans="1:3">
      <c r="A523" t="s">
        <v>588</v>
      </c>
      <c r="B523">
        <v>139.5</v>
      </c>
      <c r="C523" t="s">
        <v>7</v>
      </c>
    </row>
    <row r="524" spans="1:3">
      <c r="A524" t="s">
        <v>585</v>
      </c>
      <c r="B524">
        <v>254</v>
      </c>
      <c r="C524" t="s">
        <v>78</v>
      </c>
    </row>
    <row r="525" spans="1:3">
      <c r="A525" t="s">
        <v>585</v>
      </c>
      <c r="B525">
        <v>125</v>
      </c>
      <c r="C525" t="s">
        <v>80</v>
      </c>
    </row>
    <row r="526" spans="1:3">
      <c r="A526" t="s">
        <v>584</v>
      </c>
      <c r="B526">
        <v>106.5</v>
      </c>
      <c r="C526" t="s">
        <v>282</v>
      </c>
    </row>
    <row r="527" spans="1:3">
      <c r="A527" t="s">
        <v>587</v>
      </c>
      <c r="B527">
        <v>73</v>
      </c>
      <c r="C527" t="s">
        <v>180</v>
      </c>
    </row>
    <row r="528" spans="1:3">
      <c r="A528" t="s">
        <v>587</v>
      </c>
      <c r="B528">
        <v>81</v>
      </c>
      <c r="C528" t="s">
        <v>80</v>
      </c>
    </row>
    <row r="529" spans="1:3">
      <c r="A529" t="s">
        <v>584</v>
      </c>
      <c r="B529">
        <v>56.5</v>
      </c>
      <c r="C529" t="s">
        <v>78</v>
      </c>
    </row>
    <row r="530" spans="1:3">
      <c r="A530" t="s">
        <v>585</v>
      </c>
      <c r="B530">
        <v>99.5</v>
      </c>
      <c r="C530" t="s">
        <v>372</v>
      </c>
    </row>
    <row r="531" spans="1:3">
      <c r="A531" t="s">
        <v>585</v>
      </c>
      <c r="B531">
        <v>45.5</v>
      </c>
      <c r="C531" t="s">
        <v>196</v>
      </c>
    </row>
    <row r="532" spans="1:3">
      <c r="A532" t="s">
        <v>584</v>
      </c>
      <c r="B532">
        <v>54</v>
      </c>
      <c r="C532" t="s">
        <v>477</v>
      </c>
    </row>
    <row r="533" spans="1:3">
      <c r="A533" t="s">
        <v>586</v>
      </c>
      <c r="B533">
        <v>122.5</v>
      </c>
      <c r="C533" t="s">
        <v>373</v>
      </c>
    </row>
    <row r="534" spans="1:3">
      <c r="A534" t="s">
        <v>585</v>
      </c>
      <c r="B534">
        <v>37.5</v>
      </c>
      <c r="C534" t="s">
        <v>283</v>
      </c>
    </row>
    <row r="535" spans="1:3">
      <c r="A535" t="s">
        <v>584</v>
      </c>
      <c r="B535">
        <v>53.5</v>
      </c>
      <c r="C535" t="s">
        <v>280</v>
      </c>
    </row>
    <row r="536" spans="1:3">
      <c r="A536" t="s">
        <v>584</v>
      </c>
      <c r="B536">
        <v>140</v>
      </c>
      <c r="C536" t="s">
        <v>374</v>
      </c>
    </row>
    <row r="537" spans="1:3">
      <c r="A537" t="s">
        <v>585</v>
      </c>
      <c r="B537">
        <v>77.5</v>
      </c>
      <c r="C537" t="s">
        <v>375</v>
      </c>
    </row>
    <row r="538" spans="1:3">
      <c r="A538" t="s">
        <v>585</v>
      </c>
      <c r="B538">
        <v>55</v>
      </c>
      <c r="C538" t="s">
        <v>478</v>
      </c>
    </row>
    <row r="539" spans="1:3">
      <c r="A539" t="s">
        <v>585</v>
      </c>
      <c r="B539">
        <v>117.5</v>
      </c>
      <c r="C539" t="s">
        <v>284</v>
      </c>
    </row>
    <row r="540" spans="1:3">
      <c r="A540" t="s">
        <v>587</v>
      </c>
      <c r="B540">
        <v>70.5</v>
      </c>
      <c r="C540" t="s">
        <v>342</v>
      </c>
    </row>
    <row r="541" spans="1:3">
      <c r="A541" t="s">
        <v>587</v>
      </c>
      <c r="B541">
        <v>70</v>
      </c>
      <c r="C541" t="s">
        <v>479</v>
      </c>
    </row>
    <row r="542" spans="1:3">
      <c r="A542" t="s">
        <v>586</v>
      </c>
      <c r="B542">
        <v>61.5</v>
      </c>
      <c r="C542" t="s">
        <v>377</v>
      </c>
    </row>
    <row r="543" spans="1:3">
      <c r="A543" t="s">
        <v>587</v>
      </c>
      <c r="B543">
        <v>80</v>
      </c>
      <c r="C543" t="s">
        <v>378</v>
      </c>
    </row>
    <row r="544" spans="1:3">
      <c r="A544" t="s">
        <v>586</v>
      </c>
      <c r="B544">
        <v>79.5</v>
      </c>
      <c r="C544" t="s">
        <v>380</v>
      </c>
    </row>
    <row r="545" spans="1:3">
      <c r="A545" t="s">
        <v>586</v>
      </c>
      <c r="B545">
        <v>168</v>
      </c>
      <c r="C545" t="s">
        <v>382</v>
      </c>
    </row>
    <row r="546" spans="1:3">
      <c r="A546" t="s">
        <v>585</v>
      </c>
      <c r="B546">
        <v>90</v>
      </c>
      <c r="C546" t="s">
        <v>383</v>
      </c>
    </row>
    <row r="547" spans="1:3">
      <c r="A547" t="s">
        <v>584</v>
      </c>
      <c r="B547">
        <v>138.5</v>
      </c>
      <c r="C547" t="s">
        <v>385</v>
      </c>
    </row>
    <row r="548" spans="1:3">
      <c r="A548" t="s">
        <v>584</v>
      </c>
      <c r="B548">
        <v>111.5</v>
      </c>
      <c r="C548" t="s">
        <v>384</v>
      </c>
    </row>
    <row r="549" spans="1:3">
      <c r="A549" t="s">
        <v>584</v>
      </c>
      <c r="B549">
        <v>68.5</v>
      </c>
      <c r="C549" t="s">
        <v>387</v>
      </c>
    </row>
    <row r="550" spans="1:3">
      <c r="A550" t="s">
        <v>584</v>
      </c>
      <c r="B550">
        <v>84.5</v>
      </c>
      <c r="C550" t="s">
        <v>7</v>
      </c>
    </row>
    <row r="551" spans="1:3">
      <c r="A551" t="s">
        <v>588</v>
      </c>
      <c r="B551">
        <v>102.5</v>
      </c>
      <c r="C551" t="s">
        <v>480</v>
      </c>
    </row>
    <row r="552" spans="1:3">
      <c r="A552" t="s">
        <v>587</v>
      </c>
      <c r="B552">
        <v>73.5</v>
      </c>
      <c r="C552" t="s">
        <v>389</v>
      </c>
    </row>
    <row r="553" spans="1:3">
      <c r="A553" t="s">
        <v>584</v>
      </c>
      <c r="B553">
        <v>93.5</v>
      </c>
      <c r="C553" t="s">
        <v>391</v>
      </c>
    </row>
    <row r="554" spans="1:3">
      <c r="A554" t="s">
        <v>585</v>
      </c>
      <c r="B554">
        <v>127.5</v>
      </c>
      <c r="C554" t="s">
        <v>169</v>
      </c>
    </row>
    <row r="555" spans="1:3">
      <c r="A555" t="s">
        <v>588</v>
      </c>
      <c r="B555">
        <v>72</v>
      </c>
      <c r="C555" t="s">
        <v>481</v>
      </c>
    </row>
    <row r="556" spans="1:3">
      <c r="A556" t="s">
        <v>584</v>
      </c>
      <c r="B556">
        <v>129.5</v>
      </c>
      <c r="C556" t="s">
        <v>483</v>
      </c>
    </row>
    <row r="557" spans="1:3">
      <c r="A557" t="s">
        <v>585</v>
      </c>
      <c r="B557">
        <v>47</v>
      </c>
      <c r="C557" t="s">
        <v>484</v>
      </c>
    </row>
    <row r="558" spans="1:3">
      <c r="A558" t="s">
        <v>584</v>
      </c>
      <c r="B558">
        <v>65</v>
      </c>
      <c r="C558" t="s">
        <v>180</v>
      </c>
    </row>
    <row r="559" spans="1:3">
      <c r="A559" t="s">
        <v>584</v>
      </c>
      <c r="B559">
        <v>60</v>
      </c>
      <c r="C559" t="s">
        <v>392</v>
      </c>
    </row>
    <row r="560" spans="1:3">
      <c r="A560" t="s">
        <v>588</v>
      </c>
      <c r="B560">
        <v>167.5</v>
      </c>
      <c r="C560" t="s">
        <v>485</v>
      </c>
    </row>
    <row r="561" spans="1:3">
      <c r="A561" t="s">
        <v>584</v>
      </c>
      <c r="B561">
        <v>65</v>
      </c>
      <c r="C561" t="s">
        <v>486</v>
      </c>
    </row>
    <row r="562" spans="1:3">
      <c r="A562" t="s">
        <v>588</v>
      </c>
      <c r="B562">
        <v>94</v>
      </c>
      <c r="C562" t="s">
        <v>488</v>
      </c>
    </row>
    <row r="563" spans="1:3">
      <c r="A563" t="s">
        <v>587</v>
      </c>
      <c r="B563">
        <v>87.5</v>
      </c>
      <c r="C563" t="s">
        <v>393</v>
      </c>
    </row>
    <row r="564" spans="1:3">
      <c r="A564" t="s">
        <v>588</v>
      </c>
      <c r="B564">
        <v>97</v>
      </c>
      <c r="C564" t="s">
        <v>489</v>
      </c>
    </row>
    <row r="565" spans="1:3">
      <c r="A565" t="s">
        <v>588</v>
      </c>
      <c r="B565">
        <v>112.5</v>
      </c>
      <c r="C565" t="s">
        <v>491</v>
      </c>
    </row>
    <row r="566" spans="1:3">
      <c r="A566" t="s">
        <v>584</v>
      </c>
      <c r="B566">
        <v>91.5</v>
      </c>
      <c r="C566" t="s">
        <v>395</v>
      </c>
    </row>
    <row r="567" spans="1:3">
      <c r="A567" t="s">
        <v>585</v>
      </c>
      <c r="B567">
        <v>51.5</v>
      </c>
      <c r="C567" t="s">
        <v>394</v>
      </c>
    </row>
    <row r="568" spans="1:3">
      <c r="A568" t="s">
        <v>584</v>
      </c>
      <c r="B568">
        <v>114.5</v>
      </c>
      <c r="C568" t="s">
        <v>397</v>
      </c>
    </row>
    <row r="569" spans="1:3">
      <c r="A569" t="s">
        <v>588</v>
      </c>
      <c r="B569">
        <v>115</v>
      </c>
      <c r="C569" t="s">
        <v>169</v>
      </c>
    </row>
    <row r="570" spans="1:3">
      <c r="A570" t="s">
        <v>585</v>
      </c>
      <c r="B570">
        <v>74</v>
      </c>
      <c r="C570" t="s">
        <v>169</v>
      </c>
    </row>
    <row r="571" spans="1:3">
      <c r="A571" t="s">
        <v>586</v>
      </c>
      <c r="B571">
        <v>51</v>
      </c>
      <c r="C571" t="s">
        <v>180</v>
      </c>
    </row>
    <row r="572" spans="1:3">
      <c r="A572" t="s">
        <v>585</v>
      </c>
      <c r="B572">
        <v>100</v>
      </c>
      <c r="C572" t="s">
        <v>180</v>
      </c>
    </row>
    <row r="573" spans="1:3">
      <c r="A573" t="s">
        <v>584</v>
      </c>
      <c r="B573">
        <v>121</v>
      </c>
      <c r="C573" t="s">
        <v>493</v>
      </c>
    </row>
    <row r="574" spans="1:3">
      <c r="A574" t="s">
        <v>586</v>
      </c>
      <c r="B574">
        <v>121.5</v>
      </c>
      <c r="C574" t="s">
        <v>399</v>
      </c>
    </row>
    <row r="575" spans="1:3">
      <c r="A575" t="s">
        <v>585</v>
      </c>
      <c r="B575">
        <v>62.5</v>
      </c>
      <c r="C575" t="s">
        <v>494</v>
      </c>
    </row>
    <row r="576" spans="1:3">
      <c r="A576" t="s">
        <v>584</v>
      </c>
      <c r="B576">
        <v>122</v>
      </c>
      <c r="C576" t="s">
        <v>7</v>
      </c>
    </row>
    <row r="577" spans="1:3">
      <c r="A577" t="s">
        <v>588</v>
      </c>
      <c r="B577">
        <v>85</v>
      </c>
      <c r="C577" t="s">
        <v>495</v>
      </c>
    </row>
    <row r="578" spans="1:3">
      <c r="A578" t="s">
        <v>585</v>
      </c>
      <c r="B578">
        <v>60.5</v>
      </c>
      <c r="C578" t="s">
        <v>400</v>
      </c>
    </row>
    <row r="579" spans="1:3">
      <c r="A579" t="s">
        <v>584</v>
      </c>
      <c r="B579">
        <v>180</v>
      </c>
      <c r="C579" t="s">
        <v>403</v>
      </c>
    </row>
    <row r="580" spans="1:3">
      <c r="A580" t="s">
        <v>586</v>
      </c>
      <c r="B580">
        <v>70.5</v>
      </c>
      <c r="C580" t="s">
        <v>496</v>
      </c>
    </row>
    <row r="581" spans="1:3">
      <c r="A581" t="s">
        <v>585</v>
      </c>
      <c r="B581">
        <v>118.5</v>
      </c>
      <c r="C581" t="s">
        <v>497</v>
      </c>
    </row>
    <row r="582" spans="1:3">
      <c r="A582" t="s">
        <v>584</v>
      </c>
      <c r="B582">
        <v>66.5</v>
      </c>
      <c r="C582" t="s">
        <v>402</v>
      </c>
    </row>
    <row r="583" spans="1:3">
      <c r="A583" t="s">
        <v>585</v>
      </c>
      <c r="B583">
        <v>107.5</v>
      </c>
      <c r="C583" t="s">
        <v>498</v>
      </c>
    </row>
    <row r="584" spans="1:3">
      <c r="A584" t="s">
        <v>586</v>
      </c>
      <c r="B584">
        <v>138.5</v>
      </c>
      <c r="C584" t="s">
        <v>406</v>
      </c>
    </row>
    <row r="585" spans="1:3">
      <c r="A585" t="s">
        <v>587</v>
      </c>
      <c r="B585">
        <v>81</v>
      </c>
      <c r="C585" t="s">
        <v>80</v>
      </c>
    </row>
    <row r="586" spans="1:3">
      <c r="A586" t="s">
        <v>584</v>
      </c>
      <c r="B586">
        <v>58.5</v>
      </c>
      <c r="C586" t="s">
        <v>80</v>
      </c>
    </row>
    <row r="587" spans="1:3">
      <c r="A587" t="s">
        <v>585</v>
      </c>
      <c r="B587">
        <v>107.5</v>
      </c>
      <c r="C587" t="s">
        <v>90</v>
      </c>
    </row>
    <row r="588" spans="1:3">
      <c r="A588" t="s">
        <v>584</v>
      </c>
      <c r="B588">
        <v>120.5</v>
      </c>
      <c r="C588" t="s">
        <v>409</v>
      </c>
    </row>
    <row r="589" spans="1:3">
      <c r="A589" t="s">
        <v>584</v>
      </c>
      <c r="B589">
        <v>63.5</v>
      </c>
      <c r="C589" t="s">
        <v>341</v>
      </c>
    </row>
    <row r="590" spans="1:3">
      <c r="A590" t="s">
        <v>585</v>
      </c>
      <c r="B590">
        <v>103.5</v>
      </c>
      <c r="C590" t="s">
        <v>408</v>
      </c>
    </row>
    <row r="591" spans="1:3">
      <c r="A591" t="s">
        <v>588</v>
      </c>
      <c r="B591">
        <v>107</v>
      </c>
      <c r="C591" t="s">
        <v>411</v>
      </c>
    </row>
    <row r="592" spans="1:3">
      <c r="A592" t="s">
        <v>584</v>
      </c>
      <c r="B592">
        <v>105.5</v>
      </c>
      <c r="C592" t="s">
        <v>180</v>
      </c>
    </row>
    <row r="593" spans="1:3">
      <c r="A593" t="s">
        <v>587</v>
      </c>
      <c r="B593">
        <v>83</v>
      </c>
      <c r="C593" t="s">
        <v>413</v>
      </c>
    </row>
    <row r="594" spans="1:3">
      <c r="A594" t="s">
        <v>588</v>
      </c>
      <c r="B594">
        <v>162</v>
      </c>
      <c r="C594" t="s">
        <v>500</v>
      </c>
    </row>
    <row r="595" spans="1:3">
      <c r="A595" t="s">
        <v>584</v>
      </c>
      <c r="B595">
        <v>68.5</v>
      </c>
      <c r="C595" t="s">
        <v>284</v>
      </c>
    </row>
    <row r="596" spans="1:3">
      <c r="A596" t="s">
        <v>585</v>
      </c>
      <c r="B596">
        <v>110.5</v>
      </c>
      <c r="C596" t="s">
        <v>412</v>
      </c>
    </row>
    <row r="597" spans="1:3">
      <c r="A597" t="s">
        <v>584</v>
      </c>
      <c r="B597">
        <v>115.5</v>
      </c>
      <c r="C597" t="s">
        <v>502</v>
      </c>
    </row>
    <row r="598" spans="1:3">
      <c r="A598" t="s">
        <v>585</v>
      </c>
      <c r="B598">
        <v>87.5</v>
      </c>
      <c r="C598" t="s">
        <v>414</v>
      </c>
    </row>
    <row r="599" spans="1:3">
      <c r="A599" t="s">
        <v>584</v>
      </c>
      <c r="B599">
        <v>80.5</v>
      </c>
      <c r="C599" t="s">
        <v>503</v>
      </c>
    </row>
    <row r="600" spans="1:3">
      <c r="A600" t="s">
        <v>586</v>
      </c>
      <c r="B600">
        <v>43</v>
      </c>
      <c r="C600" t="s">
        <v>80</v>
      </c>
    </row>
    <row r="601" spans="1:3">
      <c r="A601" t="s">
        <v>588</v>
      </c>
      <c r="B601">
        <v>140</v>
      </c>
      <c r="C601" t="s">
        <v>80</v>
      </c>
    </row>
    <row r="602" spans="1:3">
      <c r="A602" t="s">
        <v>588</v>
      </c>
      <c r="B602">
        <v>172</v>
      </c>
      <c r="C602" t="s">
        <v>415</v>
      </c>
    </row>
    <row r="603" spans="1:3">
      <c r="A603" t="s">
        <v>585</v>
      </c>
      <c r="B603">
        <v>66.5</v>
      </c>
      <c r="C603" t="s">
        <v>416</v>
      </c>
    </row>
    <row r="604" spans="1:3">
      <c r="A604" t="s">
        <v>585</v>
      </c>
      <c r="B604">
        <v>100</v>
      </c>
      <c r="C604" t="s">
        <v>417</v>
      </c>
    </row>
    <row r="605" spans="1:3">
      <c r="A605" t="s">
        <v>586</v>
      </c>
      <c r="B605">
        <v>94.5</v>
      </c>
      <c r="C605" t="s">
        <v>419</v>
      </c>
    </row>
    <row r="606" spans="1:3">
      <c r="A606" t="s">
        <v>588</v>
      </c>
      <c r="B606">
        <v>221.5</v>
      </c>
      <c r="C606" t="s">
        <v>504</v>
      </c>
    </row>
    <row r="607" spans="1:3">
      <c r="A607" t="s">
        <v>584</v>
      </c>
      <c r="B607">
        <v>119</v>
      </c>
      <c r="C607" t="s">
        <v>421</v>
      </c>
    </row>
    <row r="608" spans="1:3">
      <c r="A608" t="s">
        <v>584</v>
      </c>
      <c r="B608">
        <v>95.5</v>
      </c>
      <c r="C608" t="s">
        <v>422</v>
      </c>
    </row>
    <row r="609" spans="1:3">
      <c r="A609" t="s">
        <v>585</v>
      </c>
      <c r="B609">
        <v>194.5</v>
      </c>
      <c r="C609" t="s">
        <v>424</v>
      </c>
    </row>
    <row r="610" spans="1:3">
      <c r="A610" t="s">
        <v>585</v>
      </c>
      <c r="B610">
        <v>51.5</v>
      </c>
      <c r="C610" t="s">
        <v>506</v>
      </c>
    </row>
    <row r="611" spans="1:3">
      <c r="A611" t="s">
        <v>587</v>
      </c>
      <c r="B611">
        <v>27.5</v>
      </c>
      <c r="C611" t="s">
        <v>425</v>
      </c>
    </row>
    <row r="612" spans="1:3">
      <c r="A612" t="s">
        <v>585</v>
      </c>
      <c r="B612">
        <v>173</v>
      </c>
      <c r="C612" t="s">
        <v>426</v>
      </c>
    </row>
    <row r="613" spans="1:3">
      <c r="A613" t="s">
        <v>584</v>
      </c>
      <c r="B613">
        <v>105.5</v>
      </c>
      <c r="C613" t="s">
        <v>507</v>
      </c>
    </row>
    <row r="614" spans="1:3">
      <c r="A614" t="s">
        <v>584</v>
      </c>
      <c r="B614">
        <v>71.5</v>
      </c>
      <c r="C614" t="s">
        <v>427</v>
      </c>
    </row>
    <row r="615" spans="1:3">
      <c r="A615" t="s">
        <v>585</v>
      </c>
      <c r="B615">
        <v>74</v>
      </c>
      <c r="C615" t="s">
        <v>486</v>
      </c>
    </row>
    <row r="616" spans="1:3">
      <c r="A616" t="s">
        <v>584</v>
      </c>
      <c r="B616">
        <v>62.5</v>
      </c>
      <c r="C616" t="s">
        <v>428</v>
      </c>
    </row>
    <row r="617" spans="1:3">
      <c r="A617" t="s">
        <v>588</v>
      </c>
      <c r="B617">
        <v>65.5</v>
      </c>
      <c r="C617" t="s">
        <v>80</v>
      </c>
    </row>
    <row r="618" spans="1:3">
      <c r="A618" t="s">
        <v>584</v>
      </c>
      <c r="B618">
        <v>85</v>
      </c>
      <c r="C618" t="s">
        <v>431</v>
      </c>
    </row>
    <row r="619" spans="1:3">
      <c r="A619" t="s">
        <v>584</v>
      </c>
      <c r="B619">
        <v>147.5</v>
      </c>
      <c r="C619" t="s">
        <v>429</v>
      </c>
    </row>
    <row r="620" spans="1:3">
      <c r="A620" t="s">
        <v>584</v>
      </c>
      <c r="B620">
        <v>161.5</v>
      </c>
      <c r="C620" t="s">
        <v>430</v>
      </c>
    </row>
    <row r="621" spans="1:3">
      <c r="A621" t="s">
        <v>584</v>
      </c>
      <c r="B621">
        <v>81</v>
      </c>
      <c r="C621" t="s">
        <v>508</v>
      </c>
    </row>
    <row r="622" spans="1:3">
      <c r="A622" t="s">
        <v>587</v>
      </c>
      <c r="B622">
        <v>72.5</v>
      </c>
      <c r="C622" t="s">
        <v>433</v>
      </c>
    </row>
    <row r="623" spans="1:3">
      <c r="A623" t="s">
        <v>584</v>
      </c>
      <c r="B623">
        <v>139</v>
      </c>
      <c r="C623" t="s">
        <v>432</v>
      </c>
    </row>
    <row r="624" spans="1:3">
      <c r="A624" t="s">
        <v>584</v>
      </c>
      <c r="B624">
        <v>136.5</v>
      </c>
      <c r="C624" t="s">
        <v>434</v>
      </c>
    </row>
    <row r="625" spans="1:3">
      <c r="A625" t="s">
        <v>585</v>
      </c>
      <c r="B625">
        <v>83</v>
      </c>
      <c r="C625" t="s">
        <v>435</v>
      </c>
    </row>
    <row r="626" spans="1:3">
      <c r="A626" t="s">
        <v>586</v>
      </c>
      <c r="B626">
        <v>121</v>
      </c>
      <c r="C626" t="s">
        <v>436</v>
      </c>
    </row>
    <row r="627" spans="1:3">
      <c r="A627" t="s">
        <v>584</v>
      </c>
      <c r="B627">
        <v>74.5</v>
      </c>
      <c r="C627" t="s">
        <v>7</v>
      </c>
    </row>
    <row r="628" spans="1:3">
      <c r="A628" t="s">
        <v>587</v>
      </c>
      <c r="B628">
        <v>85.5</v>
      </c>
      <c r="C628" t="s">
        <v>463</v>
      </c>
    </row>
    <row r="629" spans="1:3">
      <c r="A629" t="s">
        <v>585</v>
      </c>
      <c r="B629">
        <v>80.5</v>
      </c>
      <c r="C629" t="s">
        <v>437</v>
      </c>
    </row>
    <row r="630" spans="1:3">
      <c r="A630" t="s">
        <v>586</v>
      </c>
      <c r="B630">
        <v>167.5</v>
      </c>
      <c r="C630" t="s">
        <v>80</v>
      </c>
    </row>
    <row r="631" spans="1:3">
      <c r="A631" t="s">
        <v>587</v>
      </c>
      <c r="B631">
        <v>107.5</v>
      </c>
      <c r="C631" t="s">
        <v>439</v>
      </c>
    </row>
    <row r="632" spans="1:3">
      <c r="A632" t="s">
        <v>585</v>
      </c>
      <c r="B632">
        <v>44.5</v>
      </c>
      <c r="C632" t="s">
        <v>180</v>
      </c>
    </row>
    <row r="633" spans="1:3">
      <c r="A633" t="s">
        <v>585</v>
      </c>
      <c r="B633">
        <v>107.5</v>
      </c>
      <c r="C633" t="s">
        <v>180</v>
      </c>
    </row>
    <row r="634" spans="1:3">
      <c r="A634" t="s">
        <v>584</v>
      </c>
      <c r="B634">
        <v>69.5</v>
      </c>
      <c r="C634" t="s">
        <v>334</v>
      </c>
    </row>
    <row r="635" spans="1:3">
      <c r="A635" t="s">
        <v>584</v>
      </c>
      <c r="B635">
        <v>98.5</v>
      </c>
      <c r="C635" t="s">
        <v>510</v>
      </c>
    </row>
    <row r="636" spans="1:3">
      <c r="A636" t="s">
        <v>587</v>
      </c>
      <c r="B636">
        <v>80.5</v>
      </c>
      <c r="C636" t="s">
        <v>441</v>
      </c>
    </row>
    <row r="637" spans="1:3">
      <c r="A637" t="s">
        <v>584</v>
      </c>
      <c r="B637">
        <v>76.5</v>
      </c>
      <c r="C637" t="s">
        <v>511</v>
      </c>
    </row>
    <row r="638" spans="1:3">
      <c r="A638" t="s">
        <v>584</v>
      </c>
      <c r="B638">
        <v>99</v>
      </c>
      <c r="C638" t="s">
        <v>442</v>
      </c>
    </row>
    <row r="639" spans="1:3">
      <c r="A639" t="s">
        <v>584</v>
      </c>
      <c r="B639">
        <v>96.5</v>
      </c>
      <c r="C639" t="s">
        <v>513</v>
      </c>
    </row>
    <row r="640" spans="1:3">
      <c r="A640" t="s">
        <v>585</v>
      </c>
      <c r="B640">
        <v>53</v>
      </c>
      <c r="C640" t="s">
        <v>514</v>
      </c>
    </row>
    <row r="641" spans="1:3">
      <c r="A641" t="s">
        <v>587</v>
      </c>
      <c r="B641">
        <v>103</v>
      </c>
      <c r="C641" t="s">
        <v>515</v>
      </c>
    </row>
    <row r="642" spans="1:3">
      <c r="A642" t="s">
        <v>584</v>
      </c>
      <c r="B642">
        <v>139.5</v>
      </c>
      <c r="C642" t="s">
        <v>516</v>
      </c>
    </row>
    <row r="643" spans="1:3">
      <c r="A643" t="s">
        <v>584</v>
      </c>
      <c r="B643">
        <v>67</v>
      </c>
      <c r="C643" t="s">
        <v>518</v>
      </c>
    </row>
    <row r="644" spans="1:3">
      <c r="A644" t="s">
        <v>585</v>
      </c>
      <c r="B644">
        <v>62.5</v>
      </c>
      <c r="C644" t="s">
        <v>334</v>
      </c>
    </row>
    <row r="645" spans="1:3">
      <c r="A645" t="s">
        <v>584</v>
      </c>
      <c r="B645">
        <v>92</v>
      </c>
      <c r="C645" t="s">
        <v>519</v>
      </c>
    </row>
    <row r="646" spans="1:3">
      <c r="A646" t="s">
        <v>584</v>
      </c>
      <c r="B646">
        <v>66</v>
      </c>
      <c r="C646" t="s">
        <v>521</v>
      </c>
    </row>
    <row r="647" spans="1:3">
      <c r="A647" t="s">
        <v>584</v>
      </c>
      <c r="B647">
        <v>94.5</v>
      </c>
      <c r="C647" t="s">
        <v>522</v>
      </c>
    </row>
    <row r="648" spans="1:3">
      <c r="A648" t="s">
        <v>584</v>
      </c>
      <c r="B648">
        <v>114</v>
      </c>
      <c r="C648" t="s">
        <v>524</v>
      </c>
    </row>
    <row r="649" spans="1:3">
      <c r="A649" t="s">
        <v>588</v>
      </c>
      <c r="B649">
        <v>75.5</v>
      </c>
      <c r="C649" t="s">
        <v>526</v>
      </c>
    </row>
    <row r="650" spans="1:3">
      <c r="A650" t="s">
        <v>584</v>
      </c>
      <c r="B650">
        <v>96</v>
      </c>
      <c r="C650" t="s">
        <v>527</v>
      </c>
    </row>
    <row r="651" spans="1:3">
      <c r="A651" t="s">
        <v>588</v>
      </c>
      <c r="B651">
        <v>87</v>
      </c>
      <c r="C651" t="s">
        <v>528</v>
      </c>
    </row>
    <row r="652" spans="1:3">
      <c r="A652" t="s">
        <v>584</v>
      </c>
      <c r="B652">
        <v>86</v>
      </c>
      <c r="C652" t="s">
        <v>111</v>
      </c>
    </row>
    <row r="653" spans="1:3">
      <c r="A653" t="s">
        <v>588</v>
      </c>
      <c r="B653">
        <v>116.5</v>
      </c>
      <c r="C653" t="s">
        <v>114</v>
      </c>
    </row>
    <row r="654" spans="1:3">
      <c r="A654" t="s">
        <v>584</v>
      </c>
      <c r="B654">
        <v>154.5</v>
      </c>
      <c r="C654" t="s">
        <v>358</v>
      </c>
    </row>
    <row r="655" spans="1:3">
      <c r="A655" t="s">
        <v>584</v>
      </c>
      <c r="B655">
        <v>48.5</v>
      </c>
      <c r="C655" t="s">
        <v>529</v>
      </c>
    </row>
    <row r="656" spans="1:3">
      <c r="A656" t="s">
        <v>584</v>
      </c>
      <c r="B656">
        <v>87</v>
      </c>
      <c r="C656" t="s">
        <v>43</v>
      </c>
    </row>
    <row r="657" spans="1:3">
      <c r="A657" t="s">
        <v>585</v>
      </c>
      <c r="B657">
        <v>80</v>
      </c>
      <c r="C657" t="s">
        <v>80</v>
      </c>
    </row>
    <row r="658" spans="1:3">
      <c r="A658" t="s">
        <v>588</v>
      </c>
      <c r="B658">
        <v>44.5</v>
      </c>
      <c r="C658" t="s">
        <v>7</v>
      </c>
    </row>
    <row r="659" spans="1:3">
      <c r="A659" t="s">
        <v>584</v>
      </c>
      <c r="B659">
        <v>173</v>
      </c>
      <c r="C659" t="s">
        <v>7</v>
      </c>
    </row>
    <row r="660" spans="1:3">
      <c r="A660" t="s">
        <v>587</v>
      </c>
      <c r="B660">
        <v>52.5</v>
      </c>
      <c r="C660" t="s">
        <v>7</v>
      </c>
    </row>
    <row r="661" spans="1:3">
      <c r="A661" t="s">
        <v>584</v>
      </c>
      <c r="B661">
        <v>68.5</v>
      </c>
      <c r="C661" t="s">
        <v>196</v>
      </c>
    </row>
    <row r="662" spans="1:3">
      <c r="A662" t="s">
        <v>584</v>
      </c>
      <c r="B662">
        <v>95</v>
      </c>
      <c r="C662" t="s">
        <v>7</v>
      </c>
    </row>
    <row r="663" spans="1:3">
      <c r="A663" t="s">
        <v>585</v>
      </c>
      <c r="B663">
        <v>69.5</v>
      </c>
      <c r="C663" t="s">
        <v>78</v>
      </c>
    </row>
    <row r="664" spans="1:3">
      <c r="A664" t="s">
        <v>588</v>
      </c>
      <c r="B664">
        <v>107</v>
      </c>
      <c r="C664" t="s">
        <v>361</v>
      </c>
    </row>
    <row r="665" spans="1:3">
      <c r="A665" t="s">
        <v>584</v>
      </c>
      <c r="B665">
        <v>112</v>
      </c>
      <c r="C665" t="s">
        <v>266</v>
      </c>
    </row>
    <row r="666" spans="1:3">
      <c r="A666" t="s">
        <v>585</v>
      </c>
      <c r="B666">
        <v>96.5</v>
      </c>
      <c r="C666" t="s">
        <v>362</v>
      </c>
    </row>
    <row r="667" spans="1:3">
      <c r="A667" t="s">
        <v>587</v>
      </c>
      <c r="B667">
        <v>111.5</v>
      </c>
      <c r="C667" t="s">
        <v>80</v>
      </c>
    </row>
    <row r="668" spans="1:3">
      <c r="A668" t="s">
        <v>584</v>
      </c>
      <c r="B668">
        <v>154.5</v>
      </c>
      <c r="C668" t="s">
        <v>269</v>
      </c>
    </row>
    <row r="669" spans="1:3">
      <c r="A669" t="s">
        <v>585</v>
      </c>
      <c r="B669">
        <v>95</v>
      </c>
      <c r="C669" t="s">
        <v>463</v>
      </c>
    </row>
    <row r="670" spans="1:3">
      <c r="A670" t="s">
        <v>588</v>
      </c>
      <c r="B670">
        <v>97.5</v>
      </c>
      <c r="C670" t="s">
        <v>271</v>
      </c>
    </row>
    <row r="671" spans="1:3">
      <c r="A671" t="s">
        <v>588</v>
      </c>
      <c r="B671">
        <v>128.5</v>
      </c>
      <c r="C671" t="s">
        <v>80</v>
      </c>
    </row>
    <row r="672" spans="1:3">
      <c r="A672" t="s">
        <v>587</v>
      </c>
      <c r="B672">
        <v>124</v>
      </c>
      <c r="C672" t="s">
        <v>465</v>
      </c>
    </row>
    <row r="673" spans="1:3">
      <c r="A673" t="s">
        <v>585</v>
      </c>
      <c r="B673">
        <v>194</v>
      </c>
      <c r="C673" t="s">
        <v>466</v>
      </c>
    </row>
    <row r="674" spans="1:3">
      <c r="A674" t="s">
        <v>584</v>
      </c>
      <c r="B674">
        <v>65</v>
      </c>
      <c r="C674" t="s">
        <v>78</v>
      </c>
    </row>
    <row r="675" spans="1:3">
      <c r="A675" t="s">
        <v>588</v>
      </c>
      <c r="B675">
        <v>50</v>
      </c>
      <c r="C675" t="s">
        <v>130</v>
      </c>
    </row>
    <row r="676" spans="1:3">
      <c r="A676" t="s">
        <v>584</v>
      </c>
      <c r="B676">
        <v>104.5</v>
      </c>
      <c r="C676" t="s">
        <v>7</v>
      </c>
    </row>
    <row r="677" spans="1:3">
      <c r="A677" t="s">
        <v>588</v>
      </c>
      <c r="B677">
        <v>69.5</v>
      </c>
      <c r="C677" t="s">
        <v>365</v>
      </c>
    </row>
    <row r="678" spans="1:3">
      <c r="A678" t="s">
        <v>587</v>
      </c>
      <c r="B678">
        <v>121</v>
      </c>
      <c r="C678" t="s">
        <v>367</v>
      </c>
    </row>
    <row r="679" spans="1:3">
      <c r="A679" t="s">
        <v>588</v>
      </c>
      <c r="B679">
        <v>85.5</v>
      </c>
      <c r="C679" t="s">
        <v>7</v>
      </c>
    </row>
    <row r="680" spans="1:3">
      <c r="A680" t="s">
        <v>585</v>
      </c>
      <c r="B680">
        <v>113</v>
      </c>
      <c r="C680" t="s">
        <v>7</v>
      </c>
    </row>
    <row r="681" spans="1:3">
      <c r="A681" t="s">
        <v>584</v>
      </c>
      <c r="B681">
        <v>103</v>
      </c>
      <c r="C681" t="s">
        <v>78</v>
      </c>
    </row>
    <row r="682" spans="1:3">
      <c r="A682" t="s">
        <v>584</v>
      </c>
      <c r="B682">
        <v>90.5</v>
      </c>
      <c r="C682" t="s">
        <v>274</v>
      </c>
    </row>
    <row r="683" spans="1:3">
      <c r="A683" t="s">
        <v>588</v>
      </c>
      <c r="B683">
        <v>153</v>
      </c>
      <c r="C683" t="s">
        <v>463</v>
      </c>
    </row>
    <row r="684" spans="1:3">
      <c r="A684" t="s">
        <v>585</v>
      </c>
      <c r="B684">
        <v>106.5</v>
      </c>
      <c r="C684" t="s">
        <v>368</v>
      </c>
    </row>
    <row r="685" spans="1:3">
      <c r="A685" t="s">
        <v>586</v>
      </c>
      <c r="B685">
        <v>130</v>
      </c>
      <c r="C685" t="s">
        <v>469</v>
      </c>
    </row>
    <row r="686" spans="1:3">
      <c r="A686" t="s">
        <v>585</v>
      </c>
      <c r="B686">
        <v>123.5</v>
      </c>
      <c r="C686" t="s">
        <v>7</v>
      </c>
    </row>
    <row r="687" spans="1:3">
      <c r="A687" t="s">
        <v>588</v>
      </c>
      <c r="B687">
        <v>86.5</v>
      </c>
      <c r="C687" t="s">
        <v>7</v>
      </c>
    </row>
    <row r="688" spans="1:3">
      <c r="A688" t="s">
        <v>584</v>
      </c>
      <c r="B688">
        <v>64</v>
      </c>
      <c r="C688" t="s">
        <v>7</v>
      </c>
    </row>
    <row r="689" spans="1:3">
      <c r="A689" t="s">
        <v>584</v>
      </c>
      <c r="B689">
        <v>47</v>
      </c>
      <c r="C689" t="s">
        <v>468</v>
      </c>
    </row>
    <row r="690" spans="1:3">
      <c r="A690" t="s">
        <v>588</v>
      </c>
      <c r="B690">
        <v>162</v>
      </c>
      <c r="C690" t="s">
        <v>80</v>
      </c>
    </row>
    <row r="691" spans="1:3">
      <c r="A691" t="s">
        <v>584</v>
      </c>
      <c r="B691">
        <v>140</v>
      </c>
      <c r="C691" t="s">
        <v>530</v>
      </c>
    </row>
    <row r="692" spans="1:3">
      <c r="A692" t="s">
        <v>585</v>
      </c>
      <c r="B692">
        <v>89</v>
      </c>
      <c r="C692" t="s">
        <v>471</v>
      </c>
    </row>
    <row r="693" spans="1:3">
      <c r="A693" t="s">
        <v>585</v>
      </c>
      <c r="B693">
        <v>98</v>
      </c>
      <c r="C693" t="s">
        <v>78</v>
      </c>
    </row>
    <row r="694" spans="1:3">
      <c r="A694" t="s">
        <v>584</v>
      </c>
      <c r="B694">
        <v>137</v>
      </c>
      <c r="C694" t="s">
        <v>531</v>
      </c>
    </row>
    <row r="695" spans="1:3">
      <c r="A695" t="s">
        <v>588</v>
      </c>
      <c r="B695">
        <v>99</v>
      </c>
      <c r="C695" t="s">
        <v>78</v>
      </c>
    </row>
    <row r="696" spans="1:3">
      <c r="A696" t="s">
        <v>585</v>
      </c>
      <c r="B696">
        <v>54</v>
      </c>
      <c r="C696" t="s">
        <v>472</v>
      </c>
    </row>
    <row r="697" spans="1:3">
      <c r="A697" t="s">
        <v>585</v>
      </c>
      <c r="B697">
        <v>109</v>
      </c>
      <c r="C697" t="s">
        <v>533</v>
      </c>
    </row>
    <row r="698" spans="1:3">
      <c r="A698" t="s">
        <v>585</v>
      </c>
      <c r="B698">
        <v>109</v>
      </c>
      <c r="C698" t="s">
        <v>275</v>
      </c>
    </row>
    <row r="699" spans="1:3">
      <c r="A699" t="s">
        <v>588</v>
      </c>
      <c r="B699">
        <v>139.5</v>
      </c>
      <c r="C699" t="s">
        <v>474</v>
      </c>
    </row>
    <row r="700" spans="1:3">
      <c r="A700" t="s">
        <v>585</v>
      </c>
      <c r="B700">
        <v>254</v>
      </c>
      <c r="C700" t="s">
        <v>475</v>
      </c>
    </row>
    <row r="701" spans="1:3">
      <c r="A701" t="s">
        <v>585</v>
      </c>
      <c r="B701">
        <v>125</v>
      </c>
      <c r="C701" t="s">
        <v>460</v>
      </c>
    </row>
    <row r="702" spans="1:3">
      <c r="A702" t="s">
        <v>584</v>
      </c>
      <c r="B702">
        <v>106.5</v>
      </c>
      <c r="C702" t="s">
        <v>7</v>
      </c>
    </row>
    <row r="703" spans="1:3">
      <c r="A703" t="s">
        <v>584</v>
      </c>
      <c r="B703">
        <v>56.5</v>
      </c>
      <c r="C703" t="s">
        <v>277</v>
      </c>
    </row>
    <row r="704" spans="1:3">
      <c r="A704" t="s">
        <v>587</v>
      </c>
      <c r="B704">
        <v>73</v>
      </c>
      <c r="C704" t="s">
        <v>370</v>
      </c>
    </row>
    <row r="705" spans="1:3">
      <c r="A705" t="s">
        <v>587</v>
      </c>
      <c r="B705">
        <v>81</v>
      </c>
      <c r="C705" t="s">
        <v>80</v>
      </c>
    </row>
    <row r="706" spans="1:3">
      <c r="A706" t="s">
        <v>585</v>
      </c>
      <c r="B706">
        <v>128.5</v>
      </c>
      <c r="C706" t="s">
        <v>282</v>
      </c>
    </row>
    <row r="707" spans="1:3">
      <c r="A707" t="s">
        <v>585</v>
      </c>
      <c r="B707">
        <v>99.5</v>
      </c>
      <c r="C707" t="s">
        <v>180</v>
      </c>
    </row>
    <row r="708" spans="1:3">
      <c r="A708" t="s">
        <v>588</v>
      </c>
      <c r="B708">
        <v>92</v>
      </c>
      <c r="C708" t="s">
        <v>80</v>
      </c>
    </row>
    <row r="709" spans="1:3">
      <c r="A709" t="s">
        <v>585</v>
      </c>
      <c r="B709">
        <v>45.5</v>
      </c>
      <c r="C709" t="s">
        <v>78</v>
      </c>
    </row>
    <row r="710" spans="1:3">
      <c r="A710" t="s">
        <v>586</v>
      </c>
      <c r="B710">
        <v>122.5</v>
      </c>
      <c r="C710" t="s">
        <v>372</v>
      </c>
    </row>
    <row r="711" spans="1:3">
      <c r="A711" t="s">
        <v>585</v>
      </c>
      <c r="B711">
        <v>37.5</v>
      </c>
      <c r="C711" t="s">
        <v>196</v>
      </c>
    </row>
    <row r="712" spans="1:3">
      <c r="A712" t="s">
        <v>584</v>
      </c>
      <c r="B712">
        <v>54</v>
      </c>
      <c r="C712" t="s">
        <v>477</v>
      </c>
    </row>
    <row r="713" spans="1:3">
      <c r="A713" t="s">
        <v>584</v>
      </c>
      <c r="B713">
        <v>53.5</v>
      </c>
      <c r="C713" t="s">
        <v>280</v>
      </c>
    </row>
    <row r="714" spans="1:3">
      <c r="A714" t="s">
        <v>584</v>
      </c>
      <c r="B714">
        <v>140</v>
      </c>
      <c r="C714" t="s">
        <v>373</v>
      </c>
    </row>
    <row r="715" spans="1:3">
      <c r="A715" t="s">
        <v>585</v>
      </c>
      <c r="B715">
        <v>77.5</v>
      </c>
      <c r="C715" t="s">
        <v>283</v>
      </c>
    </row>
    <row r="716" spans="1:3">
      <c r="A716" t="s">
        <v>585</v>
      </c>
      <c r="B716">
        <v>55</v>
      </c>
      <c r="C716" t="s">
        <v>7</v>
      </c>
    </row>
    <row r="717" spans="1:3">
      <c r="A717" t="s">
        <v>585</v>
      </c>
      <c r="B717">
        <v>117.5</v>
      </c>
      <c r="C717" t="s">
        <v>374</v>
      </c>
    </row>
    <row r="718" spans="1:3">
      <c r="A718" t="s">
        <v>587</v>
      </c>
      <c r="B718">
        <v>70.5</v>
      </c>
      <c r="C718" t="s">
        <v>535</v>
      </c>
    </row>
    <row r="719" spans="1:3">
      <c r="A719" t="s">
        <v>586</v>
      </c>
      <c r="B719">
        <v>61.5</v>
      </c>
      <c r="C719" t="s">
        <v>375</v>
      </c>
    </row>
    <row r="720" spans="1:3">
      <c r="A720" t="s">
        <v>587</v>
      </c>
      <c r="B720">
        <v>80</v>
      </c>
      <c r="C720" t="s">
        <v>284</v>
      </c>
    </row>
    <row r="721" spans="1:3">
      <c r="A721" t="s">
        <v>587</v>
      </c>
      <c r="B721">
        <v>70</v>
      </c>
      <c r="C721" t="s">
        <v>342</v>
      </c>
    </row>
    <row r="722" spans="1:3">
      <c r="A722" t="s">
        <v>585</v>
      </c>
      <c r="B722">
        <v>90</v>
      </c>
      <c r="C722" t="s">
        <v>478</v>
      </c>
    </row>
    <row r="723" spans="1:3">
      <c r="A723" t="s">
        <v>588</v>
      </c>
      <c r="B723">
        <v>111</v>
      </c>
      <c r="C723" t="s">
        <v>479</v>
      </c>
    </row>
    <row r="724" spans="1:3">
      <c r="A724" t="s">
        <v>584</v>
      </c>
      <c r="B724">
        <v>138.5</v>
      </c>
      <c r="C724" t="s">
        <v>377</v>
      </c>
    </row>
    <row r="725" spans="1:3">
      <c r="A725" t="s">
        <v>584</v>
      </c>
      <c r="B725">
        <v>68.5</v>
      </c>
      <c r="C725" t="s">
        <v>378</v>
      </c>
    </row>
    <row r="726" spans="1:3">
      <c r="A726" t="s">
        <v>584</v>
      </c>
      <c r="B726">
        <v>87.5</v>
      </c>
      <c r="C726" t="s">
        <v>380</v>
      </c>
    </row>
    <row r="727" spans="1:3">
      <c r="A727" t="s">
        <v>584</v>
      </c>
      <c r="B727">
        <v>111.5</v>
      </c>
      <c r="C727" t="s">
        <v>382</v>
      </c>
    </row>
    <row r="728" spans="1:3">
      <c r="A728" t="s">
        <v>584</v>
      </c>
      <c r="B728">
        <v>84.5</v>
      </c>
      <c r="C728" t="s">
        <v>383</v>
      </c>
    </row>
    <row r="729" spans="1:3">
      <c r="A729" t="s">
        <v>588</v>
      </c>
      <c r="B729">
        <v>102.5</v>
      </c>
      <c r="C729" t="s">
        <v>384</v>
      </c>
    </row>
    <row r="730" spans="1:3">
      <c r="A730" t="s">
        <v>587</v>
      </c>
      <c r="B730">
        <v>73.5</v>
      </c>
      <c r="C730" t="s">
        <v>387</v>
      </c>
    </row>
    <row r="731" spans="1:3">
      <c r="A731" t="s">
        <v>585</v>
      </c>
      <c r="B731">
        <v>127.5</v>
      </c>
      <c r="C731" t="s">
        <v>385</v>
      </c>
    </row>
    <row r="732" spans="1:3">
      <c r="A732" t="s">
        <v>584</v>
      </c>
      <c r="B732">
        <v>93.5</v>
      </c>
      <c r="C732" t="s">
        <v>391</v>
      </c>
    </row>
    <row r="733" spans="1:3">
      <c r="C733" t="s">
        <v>389</v>
      </c>
    </row>
    <row r="734" spans="1:3">
      <c r="C734" t="s">
        <v>536</v>
      </c>
    </row>
    <row r="735" spans="1:3">
      <c r="C735" t="s">
        <v>169</v>
      </c>
    </row>
    <row r="736" spans="1:3">
      <c r="C736" t="s">
        <v>483</v>
      </c>
    </row>
    <row r="737" spans="3:3">
      <c r="C737" t="s">
        <v>80</v>
      </c>
    </row>
    <row r="738" spans="3:3">
      <c r="C738" t="s">
        <v>481</v>
      </c>
    </row>
    <row r="739" spans="3:3">
      <c r="C739" t="s">
        <v>484</v>
      </c>
    </row>
    <row r="740" spans="3:3">
      <c r="C740" t="s">
        <v>180</v>
      </c>
    </row>
    <row r="741" spans="3:3">
      <c r="C741" t="s">
        <v>392</v>
      </c>
    </row>
    <row r="742" spans="3:3">
      <c r="C742" t="s">
        <v>486</v>
      </c>
    </row>
    <row r="743" spans="3:3">
      <c r="C743" t="s">
        <v>485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B1:C9"/>
  <sheetViews>
    <sheetView workbookViewId="0">
      <selection activeCell="F4" sqref="F4"/>
    </sheetView>
  </sheetViews>
  <sheetFormatPr defaultRowHeight="15"/>
  <cols>
    <col min="2" max="2" width="21.85546875" customWidth="1"/>
  </cols>
  <sheetData>
    <row r="1" spans="2:3">
      <c r="B1" s="22" t="s">
        <v>604</v>
      </c>
      <c r="C1" s="22"/>
    </row>
    <row r="2" spans="2:3">
      <c r="B2" s="23" t="s">
        <v>603</v>
      </c>
      <c r="C2" s="23">
        <f>COUNTA(data_cleaned_2021!K:K )</f>
        <v>743</v>
      </c>
    </row>
    <row r="3" spans="2:3">
      <c r="B3" s="23" t="s">
        <v>602</v>
      </c>
      <c r="C3" s="23">
        <f>AVERAGE(data_cleaned_2021!K:K)</f>
        <v>101.4845013477089</v>
      </c>
    </row>
    <row r="4" spans="2:3">
      <c r="B4" s="23" t="s">
        <v>601</v>
      </c>
      <c r="C4" s="23">
        <f>MEDIAN(data_cleaned_2021!K:K)</f>
        <v>97.5</v>
      </c>
    </row>
    <row r="5" spans="2:3">
      <c r="B5" s="23" t="s">
        <v>600</v>
      </c>
      <c r="C5" s="23">
        <f>STDEV(data_cleaned_2021!K:K)</f>
        <v>37.48244882600288</v>
      </c>
    </row>
    <row r="6" spans="2:3">
      <c r="B6" s="23" t="s">
        <v>599</v>
      </c>
      <c r="C6" s="23">
        <f>MIN(data_cleaned_2021!K:K)</f>
        <v>15.5</v>
      </c>
    </row>
    <row r="7" spans="2:3">
      <c r="B7" s="23" t="s">
        <v>598</v>
      </c>
      <c r="C7" s="23">
        <f>PERCENTILE(data_cleaned_2021!K:K,0.25)</f>
        <v>73.5</v>
      </c>
    </row>
    <row r="8" spans="2:3">
      <c r="B8" s="23" t="s">
        <v>597</v>
      </c>
      <c r="C8" s="23">
        <f>PERCENTILE(data_cleaned_2021!K:K,0.75)</f>
        <v>122.5</v>
      </c>
    </row>
    <row r="9" spans="2:3">
      <c r="B9" s="23" t="s">
        <v>596</v>
      </c>
      <c r="C9" s="23">
        <f>MAX(data_cleaned_2021!K:K)</f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Distribution</vt:lpstr>
      <vt:lpstr>data_cleaned_2021</vt:lpstr>
      <vt:lpstr>RatingScatter</vt:lpstr>
      <vt:lpstr>SizeRating</vt:lpstr>
      <vt:lpstr>Size</vt:lpstr>
      <vt:lpstr>Industry</vt:lpstr>
      <vt:lpstr>City Salary</vt:lpstr>
      <vt:lpstr>CityCount</vt:lpstr>
      <vt:lpstr>Title Count</vt:lpstr>
      <vt:lpstr>Title Salary</vt:lpstr>
      <vt:lpstr>Rating Band</vt:lpstr>
      <vt:lpstr>Stats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ssd m.2</dc:creator>
  <cp:lastModifiedBy>ssd m.2</cp:lastModifiedBy>
  <dcterms:created xsi:type="dcterms:W3CDTF">2026-03-09T08:10:49Z</dcterms:created>
  <dcterms:modified xsi:type="dcterms:W3CDTF">2026-03-09T13:56:33Z</dcterms:modified>
</cp:coreProperties>
</file>